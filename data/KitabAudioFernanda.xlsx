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eynanda Arya Putra\OneDrive\Documents\ChatBotTWS\data\"/>
    </mc:Choice>
  </mc:AlternateContent>
  <xr:revisionPtr revIDLastSave="0" documentId="13_ncr:1_{A12AF632-36BA-4F66-A5E0-E8C9B135A011}" xr6:coauthVersionLast="47" xr6:coauthVersionMax="47" xr10:uidLastSave="{00000000-0000-0000-0000-000000000000}"/>
  <bookViews>
    <workbookView xWindow="6735" yWindow="-16320" windowWidth="29040" windowHeight="16440" xr2:uid="{00000000-000D-0000-FFFF-FFFF00000000}"/>
  </bookViews>
  <sheets>
    <sheet name="TWS" sheetId="2" r:id="rId1"/>
    <sheet name="TWS NO KARET" sheetId="3" r:id="rId2"/>
    <sheet name="Open TWS" sheetId="4" r:id="rId3"/>
  </sheets>
  <definedNames>
    <definedName name="rode">#REF!</definedName>
  </definedNames>
  <calcPr calcId="191029"/>
  <customWorkbookViews>
    <customWorkbookView name="Filter 1" guid="{CBF7ACD6-F116-428B-A305-5C7D1D314D5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 i="3" l="1"/>
  <c r="R20" i="3"/>
  <c r="R19" i="3"/>
  <c r="R18" i="3"/>
  <c r="R17" i="3"/>
  <c r="R16" i="3"/>
  <c r="R15" i="3"/>
  <c r="R14" i="3"/>
  <c r="R13" i="3"/>
  <c r="R12" i="3"/>
  <c r="R11" i="3"/>
  <c r="R10" i="3"/>
  <c r="R9" i="3"/>
  <c r="R8" i="3"/>
  <c r="R7" i="3"/>
  <c r="R6" i="3"/>
  <c r="R4" i="3"/>
  <c r="R3" i="3"/>
  <c r="R2" i="3"/>
  <c r="L107" i="2"/>
  <c r="L106" i="2"/>
  <c r="L105" i="2"/>
  <c r="L104"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AC57"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4" i="2"/>
  <c r="L23" i="2"/>
  <c r="L22" i="2"/>
  <c r="L21" i="2"/>
  <c r="L20" i="2"/>
  <c r="L19" i="2"/>
  <c r="L18" i="2"/>
  <c r="L17" i="2"/>
  <c r="L16" i="2"/>
  <c r="L15" i="2"/>
  <c r="L14" i="2"/>
  <c r="L13" i="2"/>
  <c r="L12" i="2"/>
  <c r="L11" i="2"/>
  <c r="L10" i="2"/>
  <c r="L9" i="2"/>
  <c r="L8" i="2"/>
  <c r="L7" i="2"/>
  <c r="L6" i="2"/>
  <c r="L5" i="2"/>
  <c r="L4" i="2"/>
  <c r="L3" i="2"/>
  <c r="L2" i="2"/>
</calcChain>
</file>

<file path=xl/sharedStrings.xml><?xml version="1.0" encoding="utf-8"?>
<sst xmlns="http://schemas.openxmlformats.org/spreadsheetml/2006/main" count="1894" uniqueCount="755">
  <si>
    <t>Soundstage</t>
  </si>
  <si>
    <t>Separation</t>
  </si>
  <si>
    <t>Timbre</t>
  </si>
  <si>
    <t>Punch</t>
  </si>
  <si>
    <t>Driver</t>
  </si>
  <si>
    <t>Muddy</t>
  </si>
  <si>
    <t xml:space="preserve">Tier
</t>
  </si>
  <si>
    <t>Value
money</t>
  </si>
  <si>
    <t>TWS</t>
  </si>
  <si>
    <t>Mic Test</t>
  </si>
  <si>
    <t>Review</t>
  </si>
  <si>
    <t>Bluetooth
Codec</t>
  </si>
  <si>
    <t>Battery
(without ANC)</t>
  </si>
  <si>
    <t>ANC
and dB</t>
  </si>
  <si>
    <t>Transparency?
Adjustable?</t>
  </si>
  <si>
    <t>Equalizer</t>
  </si>
  <si>
    <t>Overall
Sound</t>
  </si>
  <si>
    <t>Bass</t>
  </si>
  <si>
    <t>Lo Mid</t>
  </si>
  <si>
    <t>Hi Mid</t>
  </si>
  <si>
    <t>Treble</t>
  </si>
  <si>
    <t>Vocal</t>
  </si>
  <si>
    <t>Imaging</t>
  </si>
  <si>
    <t>Clarity/
Resolution</t>
  </si>
  <si>
    <t xml:space="preserve">Gaming Mode
Low Latency </t>
  </si>
  <si>
    <t>Sound
Tuning</t>
  </si>
  <si>
    <t>IP Rating</t>
  </si>
  <si>
    <t>Multipoint</t>
  </si>
  <si>
    <t>Eartips yg cocok</t>
  </si>
  <si>
    <t>SS</t>
  </si>
  <si>
    <r>
      <rPr>
        <b/>
        <sz val="10"/>
        <color theme="1"/>
        <rFont val="Arial"/>
      </rPr>
      <t xml:space="preserve">Samsung Galaxy Buds 3 Pro
</t>
    </r>
    <r>
      <rPr>
        <i/>
        <sz val="10"/>
        <color rgb="FFFF00FF"/>
        <rFont val="Arial"/>
      </rPr>
      <t>King of Soundstage
King of Transparency
Superb Mic</t>
    </r>
  </si>
  <si>
    <t>SSC
AAC
SBC</t>
  </si>
  <si>
    <t>30 Jam</t>
  </si>
  <si>
    <t>A</t>
  </si>
  <si>
    <t>Rank: SS
adjustable: Yes</t>
  </si>
  <si>
    <t>Hanya di samsung</t>
  </si>
  <si>
    <t>Balance</t>
  </si>
  <si>
    <t>IP57</t>
  </si>
  <si>
    <t>NO</t>
  </si>
  <si>
    <t>-</t>
  </si>
  <si>
    <t>S</t>
  </si>
  <si>
    <r>
      <rPr>
        <b/>
        <sz val="10"/>
        <color theme="1"/>
        <rFont val="Arial"/>
      </rPr>
      <t xml:space="preserve">Sennheiser Momentum True Wireless 4
</t>
    </r>
    <r>
      <rPr>
        <i/>
        <sz val="9"/>
        <color rgb="FFFF00FF"/>
        <rFont val="Arial"/>
      </rPr>
      <t xml:space="preserve">
King of Depth
King of Separation
King of Punch
</t>
    </r>
    <r>
      <rPr>
        <i/>
        <sz val="10"/>
        <color rgb="FFFF00FF"/>
        <rFont val="Arial"/>
      </rPr>
      <t>2 year warranty</t>
    </r>
  </si>
  <si>
    <t>D</t>
  </si>
  <si>
    <t>THE ONLY BRAND yg berani naro SENNHEISER SIGNATURE SOUND di kotaknya.  Great depth, imaging, separation. dalem dan belakang bawah dari sub bassnya manis. stelllaarr mids and clarity!. BATRE UPGRADE. sennheisr ganti produsen batre yg kaco di MTW 3. dan ada 3 fitur support longevity batre kaya Auto ON OFF, Eco Mode, Protection Mode. GARANSI 2 TAHUN. sayang soundstagenya kurang open gak kaya huawei, samsung. kaya masih dalem kuping</t>
  </si>
  <si>
    <r>
      <rPr>
        <b/>
        <i/>
        <sz val="10"/>
        <color rgb="FFFF0000"/>
        <rFont val="Arial"/>
      </rPr>
      <t>APTX
LOSSLESS</t>
    </r>
    <r>
      <rPr>
        <sz val="10"/>
        <color theme="1"/>
        <rFont val="Arial"/>
      </rPr>
      <t xml:space="preserve">
AAC
SBC
LE</t>
    </r>
  </si>
  <si>
    <t>7.5 Jam TWS Only
30 Jam with case</t>
  </si>
  <si>
    <t xml:space="preserve">S
-50dB </t>
  </si>
  <si>
    <t>Rank: A
adjustable: YES</t>
  </si>
  <si>
    <t>YES</t>
  </si>
  <si>
    <t>IP54</t>
  </si>
  <si>
    <t>Yes</t>
  </si>
  <si>
    <r>
      <rPr>
        <b/>
        <sz val="10"/>
        <color theme="1"/>
        <rFont val="Arial"/>
      </rPr>
      <t xml:space="preserve">Devialet Gemini ii
</t>
    </r>
    <r>
      <rPr>
        <b/>
        <i/>
        <sz val="10"/>
        <color rgb="FFFF00FF"/>
        <rFont val="Arial"/>
      </rPr>
      <t>Immersive Sound</t>
    </r>
  </si>
  <si>
    <t xml:space="preserve">FANTASTIC IMMERSIVE IMAGING. Great depth. depan belakangnya aduhai gak cuma kanan kirinya doang. lega. luas. it's like having an acoustically treated room with good sub and atmos bars. ANC kedap sekelas Sony &amp; bose. bener2 fun tuning juga bassnya dewasa banget. Belum ada TWS yang imagingnya gw rasain kae gini. ada EQ juga. Fun sounding. but the price is too expensive. </t>
  </si>
  <si>
    <t>APTX
AAC
SBC</t>
  </si>
  <si>
    <t>22 Hours</t>
  </si>
  <si>
    <t>No</t>
  </si>
  <si>
    <t>Basshead
bisa di EQ
jadi balance</t>
  </si>
  <si>
    <t>YES
IPX4</t>
  </si>
  <si>
    <r>
      <rPr>
        <b/>
        <sz val="10"/>
        <color theme="1"/>
        <rFont val="Arial"/>
      </rPr>
      <t xml:space="preserve">Bose QuietComfort Earbuds
</t>
    </r>
    <r>
      <rPr>
        <b/>
        <i/>
        <sz val="10"/>
        <color rgb="FFFF0000"/>
        <rFont val="Arial"/>
      </rPr>
      <t>World Class ANC
Superb Timbre</t>
    </r>
  </si>
  <si>
    <t>B</t>
  </si>
  <si>
    <t>AAC
SBC</t>
  </si>
  <si>
    <t>8.5 Jam TWS Only
31 Jam with case</t>
  </si>
  <si>
    <t>SS+</t>
  </si>
  <si>
    <t>Rank: A
adjustable: NO</t>
  </si>
  <si>
    <t>Yes
6 Band
Fixed Frequency
No Need</t>
  </si>
  <si>
    <r>
      <rPr>
        <sz val="10"/>
        <color theme="1"/>
        <rFont val="Arial"/>
      </rPr>
      <t xml:space="preserve">Sony Wf-1000XM5
</t>
    </r>
    <r>
      <rPr>
        <b/>
        <i/>
        <sz val="10"/>
        <color rgb="FFFF00FF"/>
        <rFont val="Arial"/>
      </rPr>
      <t xml:space="preserve">NO COMPROMISE
</t>
    </r>
    <r>
      <rPr>
        <b/>
        <i/>
        <sz val="10"/>
        <color rgb="FFFF0000"/>
        <rFont val="Arial"/>
      </rPr>
      <t>TURUN HARGA</t>
    </r>
  </si>
  <si>
    <t>LDAC
AAC
SBC</t>
  </si>
  <si>
    <t>12 Jam TWS
36 Jam with case
8 Jam ANC
24 Jam ANC + Case</t>
  </si>
  <si>
    <t>Rank: S
adjustable: YES</t>
  </si>
  <si>
    <r>
      <rPr>
        <sz val="10"/>
        <color theme="1"/>
        <rFont val="Arial"/>
      </rPr>
      <t xml:space="preserve">Sony Linkbuds Fit
</t>
    </r>
    <r>
      <rPr>
        <b/>
        <i/>
        <sz val="10"/>
        <color rgb="FFFF0000"/>
        <rFont val="Arial"/>
      </rPr>
      <t>GOD TIER FIT</t>
    </r>
  </si>
  <si>
    <t>A+</t>
  </si>
  <si>
    <t>LDAC
AAC
SBC</t>
  </si>
  <si>
    <t>8 Jam TWS only
21 jam with case</t>
  </si>
  <si>
    <t>A++</t>
  </si>
  <si>
    <t xml:space="preserve">Yes
6 Band
Fixed Frequency
</t>
  </si>
  <si>
    <r>
      <rPr>
        <b/>
        <sz val="10"/>
        <color theme="1"/>
        <rFont val="Arial"/>
      </rPr>
      <t>Sennheiser Accentum TWS</t>
    </r>
    <r>
      <rPr>
        <sz val="10"/>
        <color theme="1"/>
        <rFont val="Arial"/>
      </rPr>
      <t xml:space="preserve">
</t>
    </r>
    <r>
      <rPr>
        <b/>
        <i/>
        <sz val="10"/>
        <color rgb="FFFF0000"/>
        <rFont val="Arial"/>
      </rPr>
      <t>2 year warranty</t>
    </r>
  </si>
  <si>
    <t>8 Jam TWS Only
28 Jam + Case</t>
  </si>
  <si>
    <t>A-</t>
  </si>
  <si>
    <t xml:space="preserve">Yes
5 Band 
Fixed Frequency
+ Bass Boost
</t>
  </si>
  <si>
    <t>YES
IP54</t>
  </si>
  <si>
    <t xml:space="preserve">Huawei Freebuds Pro 4
</t>
  </si>
  <si>
    <t>kurang lebih gak beda jauh ama yg 3 SQ nya. lebih bagus timbre nya di mids lebih ga tenggelem. tapi treblenya masih agak bright ringing sizzle masih brasa. tp ya ok aja si EQ masi ga works kalo ABSOLUTE VOLUME android gak dinyalain. mic gw yakin ok liat review youtuber.  gw gabisa coba wktu itu gw mampir ke mall aj. ANC jg ga beda jauh high masi lolos, blm kaya sony dan bose, tp yang 3 pasti discontinue. jadi ya mau gamau ke sini</t>
  </si>
  <si>
    <t>L2HC
LDAC
AAC
SBC</t>
  </si>
  <si>
    <t>6.5 Jam TWS
33 Jam with case
4.5 Jam ANC
22 Jam ANC + Case</t>
  </si>
  <si>
    <t>Rank A</t>
  </si>
  <si>
    <t>YES
Default is okay
Just use preset</t>
  </si>
  <si>
    <r>
      <rPr>
        <b/>
        <sz val="10"/>
        <color theme="1"/>
        <rFont val="Arial"/>
      </rPr>
      <t>Huawei Freebuds Pro 3</t>
    </r>
    <r>
      <rPr>
        <sz val="10"/>
        <color theme="1"/>
        <rFont val="Arial"/>
      </rPr>
      <t xml:space="preserve">
</t>
    </r>
    <r>
      <rPr>
        <b/>
        <i/>
        <sz val="10"/>
        <color rgb="FFFF0000"/>
        <rFont val="Arial"/>
      </rPr>
      <t>Great Value
Great Mic</t>
    </r>
  </si>
  <si>
    <t xml:space="preserve">U Shape. VERY GOOD IMAGING HEIGH, DEPTH, WIDTH. airy,and very2 open sounding. ANC is very2 decent and silent I think Linkbuds &amp; Bose QCE are still better, immersive sounding. wide open soundstage and imaging, clean a bit bright. Less punchy than sennheiser. but the imaging and sounstage is spaciouus if you like a little bit of u-shape ish tuning. and well priced as well, timbre kurg natural </t>
  </si>
  <si>
    <t>6.5 Jam TWS
31 Jam with case
4.5 Jam ANC
22 Jam ANC + Case</t>
  </si>
  <si>
    <r>
      <rPr>
        <sz val="10"/>
        <color theme="1"/>
        <rFont val="Arial"/>
      </rPr>
      <t xml:space="preserve">Edifier Neobuds Pro 2
</t>
    </r>
    <r>
      <rPr>
        <b/>
        <i/>
        <sz val="10"/>
        <color rgb="FFFF0000"/>
        <rFont val="Arial"/>
      </rPr>
      <t>King of Mic</t>
    </r>
  </si>
  <si>
    <t>Dia penghancur value TWS overpriced seperti jabra, jbl, marshal. Knowles balance armature + single DD with active crossover. crunchy mids, garang. microphone bagus banget. Most Advanced Parametric EQ.  deep ANC. 4 mic on each buds for call. Kekurangan. agak tajem di ujung treble10k ke atas. mid agak tenggelem Edifier mesti upgrade custom EQ nya lebih baik lagi.</t>
  </si>
  <si>
    <t>LDAC
LHDC
AAC
SBC</t>
  </si>
  <si>
    <t>5.5 Jam TWS
22 Jam with case
4 Jam ANC
16 Jam ANC + Case</t>
  </si>
  <si>
    <t>V Shape</t>
  </si>
  <si>
    <t>Final Type E For TWS
JVC Spiral Dot ++</t>
  </si>
  <si>
    <r>
      <rPr>
        <sz val="10"/>
        <color theme="1"/>
        <rFont val="Arial"/>
      </rPr>
      <t xml:space="preserve">Earfun Air Pro 4
</t>
    </r>
    <r>
      <rPr>
        <b/>
        <i/>
        <sz val="10"/>
        <color rgb="FFFF0000"/>
        <rFont val="Arial"/>
      </rPr>
      <t>Lord of Low Budget</t>
    </r>
  </si>
  <si>
    <r>
      <rPr>
        <b/>
        <i/>
        <sz val="10"/>
        <color rgb="FFFF0000"/>
        <rFont val="Arial"/>
      </rPr>
      <t>APTX
Lossless</t>
    </r>
    <r>
      <rPr>
        <sz val="10"/>
        <color theme="1"/>
        <rFont val="Arial"/>
      </rPr>
      <t xml:space="preserve">
LDAC
AAC
SBC</t>
    </r>
  </si>
  <si>
    <t>11 Jam TWS Only
52Jam with Case</t>
  </si>
  <si>
    <t>A+
-50dB</t>
  </si>
  <si>
    <t>Rank:A
adjustable: YES</t>
  </si>
  <si>
    <t>YES
10 Band Graphic
EQ gue langsung di app
tersedia</t>
  </si>
  <si>
    <t>YES
50ms</t>
  </si>
  <si>
    <t>YES
IPX5</t>
  </si>
  <si>
    <r>
      <rPr>
        <sz val="10"/>
        <color theme="1"/>
        <rFont val="Arial"/>
      </rPr>
      <t xml:space="preserve">Soundpeats H3
</t>
    </r>
    <r>
      <rPr>
        <b/>
        <i/>
        <sz val="10"/>
        <color rgb="FFFF0000"/>
        <rFont val="Arial"/>
      </rPr>
      <t>Budget Technicalities</t>
    </r>
  </si>
  <si>
    <r>
      <rPr>
        <b/>
        <i/>
        <sz val="10"/>
        <color rgb="FFFF0000"/>
        <rFont val="Arial"/>
      </rPr>
      <t>APTX
Lossless</t>
    </r>
    <r>
      <rPr>
        <sz val="10"/>
        <color theme="1"/>
        <rFont val="Arial"/>
      </rPr>
      <t xml:space="preserve">
LDAC
AAC
SBC</t>
    </r>
  </si>
  <si>
    <t>7 Jam TWS Only
37 Jam with case</t>
  </si>
  <si>
    <t>Rank:A
adjustable: NO</t>
  </si>
  <si>
    <t>YES
55ms</t>
  </si>
  <si>
    <r>
      <rPr>
        <sz val="10"/>
        <color theme="1"/>
        <rFont val="Arial"/>
      </rPr>
      <t xml:space="preserve">Bose QuietComfort Ultra 2nd Gen
</t>
    </r>
    <r>
      <rPr>
        <b/>
        <i/>
        <sz val="10"/>
        <color rgb="FFFF0000"/>
        <rFont val="Arial"/>
      </rPr>
      <t>King of ANC</t>
    </r>
  </si>
  <si>
    <t>6 Jam TWS
24 Jam with case</t>
  </si>
  <si>
    <t>SSS+</t>
  </si>
  <si>
    <t>YES
3 Band EQ</t>
  </si>
  <si>
    <t>Samsung Buds 3 FE</t>
  </si>
  <si>
    <t xml:space="preserve">Samsung masih searah semua suaranya. termasuk ini dengan Buds 3 pro. tonally almost the same although a lil bit warmer lebih aman treblenya dari 3 pro. tapi beda teknikal driver. ini gak seholographic dan luas kaya 3 pro nya. Mic bagus. almost like 3 pro tapi lebih cempreng dikit. tp tetep latency tinggi dan gak ada multipoint kalo ga pake samsung. </t>
  </si>
  <si>
    <t>8.5 Jam TWS
30 Jam with case</t>
  </si>
  <si>
    <r>
      <rPr>
        <sz val="10"/>
        <color theme="1"/>
        <rFont val="Arial"/>
      </rPr>
      <t xml:space="preserve">Sony WF-C710n
</t>
    </r>
    <r>
      <rPr>
        <b/>
        <i/>
        <sz val="10"/>
        <color rgb="FFFF0000"/>
        <rFont val="Arial"/>
      </rPr>
      <t>Affordable Sony</t>
    </r>
  </si>
  <si>
    <t>12 Jam TWS
40 Jam + Case
8.5 Jam TWS + ANC
28 Jam + Case ANC</t>
  </si>
  <si>
    <t>Neutral</t>
  </si>
  <si>
    <t xml:space="preserve">Edifier Neodots
</t>
  </si>
  <si>
    <t>Ya gitu2 aja. v shape agak bright masih kaya neobuds pro 2. bisa di EQ mendingan. pakai EQ preset nya aja classic/classical lupa udah mendingan. Codec masih LDAC aja ga ad aptX lossless di 2024. mic ok. cuma udah multipoint gak kaya neobuds pro 2. batre kuat bangets. tp ga dikasi info pas ANC on batere brapa dari web resmi nya</t>
  </si>
  <si>
    <t>17 Jam TWS only
56 Jam with case</t>
  </si>
  <si>
    <t>A
-48dB</t>
  </si>
  <si>
    <t>YES
Parametric
Custom Width, freq 
Q factor, Gain)
My EQ Click Here</t>
  </si>
  <si>
    <t>YES
80ms</t>
  </si>
  <si>
    <t>YES
IP55</t>
  </si>
  <si>
    <r>
      <rPr>
        <sz val="10"/>
        <color theme="1"/>
        <rFont val="Arial"/>
      </rPr>
      <t xml:space="preserve">Earfun Air Pro 4i
</t>
    </r>
    <r>
      <rPr>
        <b/>
        <i/>
        <sz val="10"/>
        <color rgb="FFFF0000"/>
        <rFont val="Arial"/>
      </rPr>
      <t>BEST 500ribu</t>
    </r>
  </si>
  <si>
    <t>9 Jam TWS Only
40Jam with Case</t>
  </si>
  <si>
    <t>A-
-50dB</t>
  </si>
  <si>
    <t>Rank:B
adjustable: YES</t>
  </si>
  <si>
    <t>Bright</t>
  </si>
  <si>
    <t>Earfun Free Pro 3</t>
  </si>
  <si>
    <t>7.5 Jam TWS Only
33 Jam with Case</t>
  </si>
  <si>
    <t>B+
-43dB</t>
  </si>
  <si>
    <t>Rank: B
adjustable: YES</t>
  </si>
  <si>
    <t>Spinfit CP1025</t>
  </si>
  <si>
    <t xml:space="preserve">Huawei Freebuds 6i
</t>
  </si>
  <si>
    <t>8 Jam TWS
35 Jam with case
5 Jam ANC
30 Jam ANC + Case</t>
  </si>
  <si>
    <t>A
Adjustable</t>
  </si>
  <si>
    <t xml:space="preserve">Rank: A
</t>
  </si>
  <si>
    <t>Default aja udah enak.
Cut treble 4khz ke atas, dan boost midbass 200hz-400 kalo d mode anc</t>
  </si>
  <si>
    <t>U Shape</t>
  </si>
  <si>
    <r>
      <rPr>
        <sz val="10"/>
        <color theme="1"/>
        <rFont val="Arial"/>
      </rPr>
      <t xml:space="preserve">Soundcore Liberty 4NC
</t>
    </r>
    <r>
      <rPr>
        <b/>
        <i/>
        <sz val="10"/>
        <color rgb="FFFF00FF"/>
        <rFont val="Arial"/>
      </rPr>
      <t>Jack of all trades</t>
    </r>
  </si>
  <si>
    <t>10 Jam TWS Only
50 Jam with case</t>
  </si>
  <si>
    <t>Rank: S
2 Mode (voc/ambient)</t>
  </si>
  <si>
    <t>V Shape, Bassy</t>
  </si>
  <si>
    <t>Sony Linkbuds S</t>
  </si>
  <si>
    <t>6 Jam TWS only
26 Jam with Case</t>
  </si>
  <si>
    <t>S+++
-35dB</t>
  </si>
  <si>
    <t>Balance cenderung Warm</t>
  </si>
  <si>
    <t>YES
IPX4</t>
  </si>
  <si>
    <t>Ortofon</t>
  </si>
  <si>
    <t>Sony Wf-1000XM4</t>
  </si>
  <si>
    <t>C+</t>
  </si>
  <si>
    <t>ini udah ada LDAC, teknologi ANC paling bagus. Ada auto ANC. EQ custom kerenlah pokoknya udah, as a Sony Fanboy this is a must have. LDAC nya paling stabil dan gak buggy dan gak terlalu boros kaya neobuds dan liberty 3 pro</t>
  </si>
  <si>
    <t>8 Jam TWS Only
24 Jam With case</t>
  </si>
  <si>
    <t>Balance
Abis di EQ jadi
agak bebas mau
gimana</t>
  </si>
  <si>
    <t xml:space="preserve">Redmi Buds 6 Pro
</t>
  </si>
  <si>
    <t>9.5 Jam TWS Only
36 Jam with Case</t>
  </si>
  <si>
    <t>A+
Adjustable</t>
  </si>
  <si>
    <t>Rank: B-
adjustable: YES</t>
  </si>
  <si>
    <t>B-</t>
  </si>
  <si>
    <t>Tozo Golden X1</t>
  </si>
  <si>
    <r>
      <rPr>
        <sz val="10"/>
        <color theme="1"/>
        <rFont val="Arial"/>
      </rPr>
      <t xml:space="preserve">Edifier W260NC
</t>
    </r>
    <r>
      <rPr>
        <b/>
        <i/>
        <sz val="10"/>
        <color rgb="FFFF00FF"/>
        <rFont val="Arial"/>
      </rPr>
      <t>Poor Man's Airpods</t>
    </r>
  </si>
  <si>
    <t>Proper buat consumer ADA BAJET, GAK BANYAK BACOT, Pengen mirip tangkai kek AIRPODS tapi murmer no logo d bodi tapi bagus. Mic Bagus, ANC Proper. Suara balance2 aja aman jaya. Mic better than Free Pro 3, Fit aman. Tuning &amp; Teknikalitas enk Free Pro3 kalo di EQ.  gak bassshead kaya P40i or Liberty 4 NC jg. ANC Lebi kedap L4NC</t>
  </si>
  <si>
    <t>8 Jam TWS Only
32 Jam with case</t>
  </si>
  <si>
    <t>A
-45dB</t>
  </si>
  <si>
    <t xml:space="preserve">
4 Preset EQ</t>
  </si>
  <si>
    <t>B+</t>
  </si>
  <si>
    <r>
      <rPr>
        <sz val="10"/>
        <color theme="1"/>
        <rFont val="Arial"/>
      </rPr>
      <t xml:space="preserve">Moondrop Space Travel 2
</t>
    </r>
    <r>
      <rPr>
        <b/>
        <i/>
        <sz val="10"/>
        <color rgb="FFFF0000"/>
        <rFont val="Arial"/>
      </rPr>
      <t xml:space="preserve">BEST TUNING
Under 500
</t>
    </r>
    <r>
      <rPr>
        <sz val="10"/>
        <color theme="1"/>
        <rFont val="Arial"/>
      </rPr>
      <t>GA USAH YG ULTRA</t>
    </r>
  </si>
  <si>
    <t>7 Jam TWS Only
24 Jam with Case</t>
  </si>
  <si>
    <t>C</t>
  </si>
  <si>
    <t>Rank: C</t>
  </si>
  <si>
    <t>N/A</t>
  </si>
  <si>
    <t>Soundcore Liberty 5</t>
  </si>
  <si>
    <t>12 Jam TWS only
48 Jam With Case</t>
  </si>
  <si>
    <t>Basshead</t>
  </si>
  <si>
    <t>Tangzu Sancai</t>
  </si>
  <si>
    <t>Earfun Air 2</t>
  </si>
  <si>
    <t>9 Jam TWS Only
40 Jam With Case</t>
  </si>
  <si>
    <t>Bright
Abis di EQ jadi
agak bebas mau
gimana</t>
  </si>
  <si>
    <t>YES
IPX7</t>
  </si>
  <si>
    <t xml:space="preserve">Soundpeats Engine 4
</t>
  </si>
  <si>
    <t>12 Jam TWS only
43 Jam with case</t>
  </si>
  <si>
    <t>Soundcore P40i</t>
  </si>
  <si>
    <t>12 Jam TWS only
60 Jam with case</t>
  </si>
  <si>
    <t>Rank: A
adjusttable: NO</t>
  </si>
  <si>
    <t>Vshape.
D-eq bs jd Balance
walau agak
Bassy</t>
  </si>
  <si>
    <t>S-</t>
  </si>
  <si>
    <t>Soundcore Liberty 3 Pro</t>
  </si>
  <si>
    <t>Suara bagus, ngebass bgt tapi. soundstage luas. cuma fitting kegedean. saran sekarang ambil Earfun Free Pro 3 aja. ini discontinue</t>
  </si>
  <si>
    <t>A
-35db</t>
  </si>
  <si>
    <t>Rank: B+
adjustable: YES</t>
  </si>
  <si>
    <t>Azla Sednaearfit Short
Tangzu Sancai</t>
  </si>
  <si>
    <r>
      <rPr>
        <sz val="10"/>
        <color theme="1"/>
        <rFont val="Arial"/>
      </rPr>
      <t xml:space="preserve">Nothing CMF Buds Pro
</t>
    </r>
    <r>
      <rPr>
        <b/>
        <i/>
        <sz val="10"/>
        <color rgb="FFFF0000"/>
        <rFont val="Arial"/>
      </rPr>
      <t>NEW 500</t>
    </r>
  </si>
  <si>
    <t>Awal muncul 700an kurang oke sih. tapi sekarang jadi 500. udah bisa jadi alternatif The Legendary Dot3i. ada ANC yang lumayan berasa, kemudian ada EQ walau EQ nya baru dinyalain aja langsung beda suaranya, dan jadi aga berantakan. gw prefer untuk stay di balance ajaa. worth it untuk di 500 di 700 skip. belum ada multipoint</t>
  </si>
  <si>
    <t>11 Jam TWS Only
39Jam with Case</t>
  </si>
  <si>
    <t>Rank: C
adjustable: NO</t>
  </si>
  <si>
    <t>THE BENCHMARK of 500ribuan. ada EQ dan ANC.
and it's good and responsive. tombol fisik bkn touch. nyaman. Mic sugab. Batre aman. Versi murmernya liberty 3 pro klo blm mampu
Jangan beli yang note 3i. upper midnya nyerang.. kurang smooth. beli dot3i aj</t>
  </si>
  <si>
    <t>9 Jam TWS Only
36 Jam with Case</t>
  </si>
  <si>
    <t>V shape
Eq bs jd Balance
walau sdikit
boomy</t>
  </si>
  <si>
    <t>Acoustune AEX50
Final Audio Type E for tws</t>
  </si>
  <si>
    <t>Nothing Ear 2</t>
  </si>
  <si>
    <t>Putih, transparan, ala airpods udah pasti kedemenan barudak apple device yg suka ke coffeeshop pake baju simpel gombrong Uniqlo + bawa macbook. Kalo udah yakin mau beli ini karena designya. beli aja. mau gw kasi tau gimana jg pasti lu beli. dari gw sih driver bagus, tuning kurang. di EQ bisa, tapi fatal banget Ketika EQ nyala langsung turun semua volumenya kurang kenceng. ANC oke kedap tp masih ga senatural C700 or Linkbuds S. udahlah lu itu udah yakin cuma butuh validasi kitab audio gw aja kan? nih gw masukin</t>
  </si>
  <si>
    <t>LHDC
AAC
SBC</t>
  </si>
  <si>
    <t>6 Jam TWS Only
36 Jam with case
4 Jam TWS ANC
17 Jam case ANC</t>
  </si>
  <si>
    <t>A
-40dB</t>
  </si>
  <si>
    <t>Rank: B
adjustable: NO</t>
  </si>
  <si>
    <t>Custom EQ</t>
  </si>
  <si>
    <t>Nothing Ear 2024</t>
  </si>
  <si>
    <t>kurang lebih ga beda jauh ama yang ear 2 juga. Tuning biasa aja. tapi orang2 demen karena ke indiean transparan nya saja. dan minta affirmasi suara. drivernya nothing itu tidak jelek. DMS pun juga bilang hal yang sama. tapi sebagai gadget opsi2nya kurang sekali menurut gua pribadi. dr sisi EQ nya itu kacau sekali. baru nyala EQ masih flat, kok tiba2 jadi beda suaranya langsung belang langsung aneh, terus volume turun. kalo demen tuningan defaultnya ya sikat aja bebas aja. mic juga notbad. dah tuh dikasih affirmasi nya.</t>
  </si>
  <si>
    <t>8.5 Jam TWS Only
45 Jam with case</t>
  </si>
  <si>
    <t>Samsung Galaxybuds 2 Pro</t>
  </si>
  <si>
    <t>udah gak relevan. skip</t>
  </si>
  <si>
    <t>7.5 Jam TWS Only
23 Jam with case</t>
  </si>
  <si>
    <t xml:space="preserve">B
</t>
  </si>
  <si>
    <t>Preset EQ</t>
  </si>
  <si>
    <t>Balance cenderung warm</t>
  </si>
  <si>
    <t xml:space="preserve">Ambil P40i aja tuningnya akan lebih bersahabat di telinga pecinta TWS. ini Suara neutral. tidak bassy. cocok yang suka neutral. balance. bisa di EQ aman. Batre 50 jam. sudah LDAC. harga CUMA 1 JUTA. </t>
  </si>
  <si>
    <t>10 Jam TWS Only
50 Jam with case
(AAC Mode)</t>
  </si>
  <si>
    <t>Soundcore Liberty 4</t>
  </si>
  <si>
    <t>Suaranya biasa aja. V shape. driver bagus. sayang tuningannya seribu sayang tajam di ujung. udah cut mentok bawah di EQ masih cukup bright. maybe ganti tips bisa bagus. tapi yap kalo cari suara aja. cukup di Liberty 3 pro ud cukup. unless mau dapet eartips dan fitting yg better dari L3Pro, ya bisa coba ini. mic nya ok</t>
  </si>
  <si>
    <t>9 Jam TWS Only
28 Jam with case</t>
  </si>
  <si>
    <t>YES
7 Band
Fixed Frequency
My EQ Click Here</t>
  </si>
  <si>
    <t>V Shape
Cenderung Bright</t>
  </si>
  <si>
    <t>1More Comfobuds Pro</t>
  </si>
  <si>
    <t>Ini ANCnya menarik. bisa Strong, Mild dan passthru jadi bisa denger sekeliling sembari denger lagu. Tapi fitur ANC yg strong jg asyik. bisa assign gesture juga  Tap hold mau gimana, Tap 2x mau gimana, tap 3x mau gimana sebebas kita</t>
  </si>
  <si>
    <t>8 Jam TWS Only
28 Jam with case</t>
  </si>
  <si>
    <t>B
-40dB</t>
  </si>
  <si>
    <t>Rank: B+
adjustable: NO</t>
  </si>
  <si>
    <t>D-</t>
  </si>
  <si>
    <t>Airpods Pro 2</t>
  </si>
  <si>
    <t>b</t>
  </si>
  <si>
    <t>value nya enggak banget di harga segini kalo lu beneran pakai buat dengerin musik, banyak yg lebih bagus, kalo lu mau micnya bagus jg banyak yg bagus or even bisa beli mic usb sekalian masih kembali. No APTX, no LDAC, batre kurang. "tapi kan bang ekosistem auto konek" semua jg yg TOTL udh bisa auto connect. ga penting. preset EQ di harga segini? FUCKING HELL. kalo harganya 500k mgkin ok. eh tapi ada dot3i. ANC nya aja bagus. mampu saingi Sony XM4</t>
  </si>
  <si>
    <t>5 Jam TWS Only
24 Jam with case</t>
  </si>
  <si>
    <t xml:space="preserve">S
</t>
  </si>
  <si>
    <t xml:space="preserve">Sony C700
</t>
  </si>
  <si>
    <t xml:space="preserve"> </t>
  </si>
  <si>
    <t>7.5 Jam TWS ANC
15 Jam Case ANC
10 Jam TWS Only
20 Jam with Case</t>
  </si>
  <si>
    <t>Rank: C++
adjustable: NO</t>
  </si>
  <si>
    <t>Balance Warm</t>
  </si>
  <si>
    <r>
      <rPr>
        <sz val="10"/>
        <color theme="1"/>
        <rFont val="Arial"/>
      </rPr>
      <t xml:space="preserve">Huawei Freebuds 4 ANC
</t>
    </r>
    <r>
      <rPr>
        <b/>
        <i/>
        <sz val="10"/>
        <color rgb="FFFF0000"/>
        <rFont val="Arial"/>
      </rPr>
      <t>BEST 200/300RIBU</t>
    </r>
  </si>
  <si>
    <t>Great driver. far from the overhyped Baseus BP1 Pro. good anc. decent lah. Custom EQ. tonal default agak too bassy and airy (tipikal ushape huawei) tp driver dan room representation nya bagus untuk 299k sih terlalu bagus ini.  menang tonal jg dari tozo menurut ku. lebih rapih. megah. soundstage dan imaging belum kaya Earfun air pro 4i. Killer no brainer. STOP FUCKING BUYING TWS 100ribu. NABUNG LAGI ke SINI. 200ribuan to 300 ribuan is the new benchmark</t>
  </si>
  <si>
    <t>10 Jam TWS Only
50 Jam With case</t>
  </si>
  <si>
    <t>Custom EQ
10 Band
My EQ Here</t>
  </si>
  <si>
    <t>balance</t>
  </si>
  <si>
    <r>
      <rPr>
        <sz val="10"/>
        <color theme="1"/>
        <rFont val="Arial"/>
      </rPr>
      <t xml:space="preserve">Sony WF C510
</t>
    </r>
    <r>
      <rPr>
        <b/>
        <i/>
        <sz val="10"/>
        <color rgb="FFFF00FF"/>
        <rFont val="Arial"/>
      </rPr>
      <t>Affordable Sony</t>
    </r>
  </si>
  <si>
    <t>11 Jam TWS Only
22 Jam with Case</t>
  </si>
  <si>
    <t>Rank: C+
adjusttable: YES</t>
  </si>
  <si>
    <r>
      <rPr>
        <sz val="10"/>
        <color theme="1"/>
        <rFont val="Arial"/>
      </rPr>
      <t xml:space="preserve">JBL Wave Beam
</t>
    </r>
    <r>
      <rPr>
        <b/>
        <i/>
        <sz val="10"/>
        <color rgb="FFFF00FF"/>
        <rFont val="Arial"/>
      </rPr>
      <t>Affordable JBL</t>
    </r>
  </si>
  <si>
    <t>8 Jam TWS only
32 Jam with case</t>
  </si>
  <si>
    <t>Jabra Elite 10</t>
  </si>
  <si>
    <t>Suara bass nya rapih sekali. punya teknikalitas bass rumble yang mampu bersaing dengan TWS sekelas Sony XM5. Kekurangannya codec masih AAC, harga yg menurut saya masih terbilang mahal, kemudian eartips &amp; nozzle patented yang akan susah jika ingin ganti suatu hari. ANC kedap banget fokus di low mid to sub low frequency. masih berasa pengang sakit telinga. jadi value nya menurut saya masih agak berat. TWS nya sih gak jelek. cuma kalo harganya maybe di 1-1,5 juta itu lebih pass</t>
  </si>
  <si>
    <t>8 Jam TWS
36 Jam with case
6 Jam ANC
28 Jam ANC + Case</t>
  </si>
  <si>
    <t>5  Graphic EQ</t>
  </si>
  <si>
    <t>YES
IP57</t>
  </si>
  <si>
    <t>Jabra Elite 8 Active</t>
  </si>
  <si>
    <t>masih too overpriced, suggest ambil Edifier Neobuds Pro 2 or Linkbuds S. agak bassy. mic ok. tahan banting, debu. aer</t>
  </si>
  <si>
    <t>14 Jam TWS
56 Jam with case
8 Jam ANC
32 Jam ANC + Case</t>
  </si>
  <si>
    <t>V shape</t>
  </si>
  <si>
    <t>YES
IP67</t>
  </si>
  <si>
    <t xml:space="preserve">Tozo Aerosound 3
</t>
  </si>
  <si>
    <t>AAC
SBC</t>
  </si>
  <si>
    <t>6 Jam TWS ANC
30 Jam Case ANC
7 Jam TWS Only
35 Jam with Case</t>
  </si>
  <si>
    <t>Rank: D+
adjustable: NO</t>
  </si>
  <si>
    <t>YES
10 Band
Fixed Frequency</t>
  </si>
  <si>
    <t>IPX5</t>
  </si>
  <si>
    <t xml:space="preserve">Soundpeats Clear
</t>
  </si>
  <si>
    <t>8 Jam TWS Only
40 Jam with case</t>
  </si>
  <si>
    <t>IPX4</t>
  </si>
  <si>
    <r>
      <rPr>
        <sz val="10"/>
        <color theme="1"/>
        <rFont val="Arial"/>
      </rPr>
      <t xml:space="preserve">Tozo Aersound (NC9)
</t>
    </r>
    <r>
      <rPr>
        <b/>
        <i/>
        <sz val="10"/>
        <color rgb="FFFF0000"/>
        <rFont val="Arial"/>
      </rPr>
      <t>NEW CHEAP ANC</t>
    </r>
  </si>
  <si>
    <t>55 Jam ANC off
TWS + Case</t>
  </si>
  <si>
    <t>-45dB</t>
  </si>
  <si>
    <t>Rank: D++
adjustable: NO</t>
  </si>
  <si>
    <t>YES
10 Band Graphic EQ</t>
  </si>
  <si>
    <t>Bright di 8-10khz</t>
  </si>
  <si>
    <t>IPX6</t>
  </si>
  <si>
    <r>
      <rPr>
        <sz val="10"/>
        <color theme="1"/>
        <rFont val="Arial"/>
      </rPr>
      <t xml:space="preserve">QCy Buds ANC
</t>
    </r>
    <r>
      <rPr>
        <b/>
        <i/>
        <sz val="10"/>
        <color rgb="FFFF0000"/>
        <rFont val="Arial"/>
      </rPr>
      <t>NEW CHEAP ANC</t>
    </r>
  </si>
  <si>
    <t>C-</t>
  </si>
  <si>
    <t>ANC paling kedap dari tozo, soundpeats, dan soundcore. driver not bad. nomor 1 masih Clear dan Aersound, baru ini dan R50i NC. lebih butek dan boomy R50i NC. ini masih bisa dikurangin bassnya. gak seboomy R50i NC. mic lebih bagus clear dan aersound. Noise cancellation banyak fitur, dan kondisi environment</t>
  </si>
  <si>
    <t>6 Jam TWS only
31 Jam with case</t>
  </si>
  <si>
    <t>Muddy Mid Bass</t>
  </si>
  <si>
    <t>Redmi buds 6 Lite</t>
  </si>
  <si>
    <t>gw lebih prefer clear dikit. vokalnya bagus di situ. di sini sebenernya masih agak ngebass banget. tapi resolusi drivernya gak sebutek si R50i NC. jadi masih oke banget. dan bisa di custom EQ. ad ANC dan transparency tapi masih tipis banget lah tetep. mic oke banget kok. ini better than R50i NC suaranya. tapi r50i NC ada multipoint</t>
  </si>
  <si>
    <t>7 Jam TWS only
38 Jam with case</t>
  </si>
  <si>
    <t xml:space="preserve">Earfun Air Life
</t>
  </si>
  <si>
    <t>7 Jam TWS Only
35 Jam with case</t>
  </si>
  <si>
    <t xml:space="preserve">YES
10 Band
Fixed Frequency
</t>
  </si>
  <si>
    <t>Lypertek Z7</t>
  </si>
  <si>
    <t>Rajanya baterai. tapi suaranya gak dikorbanin. bagus banget.. sayang aja harganya kalo bisa 2.2 jutaan aja mungkin bisa lebih populer. namanya kurang dikenal tapi suaranya bagus. dan sayang tidak ada ANC bagi yang butuh. tapi ada transparencynya</t>
  </si>
  <si>
    <t>10 jam TWS Only
80 Jam with case</t>
  </si>
  <si>
    <t>Rank: C+
adjustable: NO</t>
  </si>
  <si>
    <t>Baseus BP1 Pro</t>
  </si>
  <si>
    <t>Up to 55 Jam</t>
  </si>
  <si>
    <t>IP55</t>
  </si>
  <si>
    <t xml:space="preserve">Soundcore R50i NC
</t>
  </si>
  <si>
    <t>10 Jam TWS Only
45 Jam with case</t>
  </si>
  <si>
    <t>Boomy</t>
  </si>
  <si>
    <t>Lypertek Z5</t>
  </si>
  <si>
    <t>B++</t>
  </si>
  <si>
    <t>Upgrade suara dari Z3. agak lebih bener. low mid dan bassnya. gak terlalu boomy.
ada ANC. ANC nya not bad. suara  oke dan power kuenceng.  batrenya tapi gak sebanyak z3 lagi yaahh karena udah ada ANC</t>
  </si>
  <si>
    <t>7jam TWS only
35 Jam with case</t>
  </si>
  <si>
    <t>YES
7 band EQ dan LDX technology</t>
  </si>
  <si>
    <t>YES
WATERPROOF 
IPX4</t>
  </si>
  <si>
    <t>Earfun Air Pro 3</t>
  </si>
  <si>
    <t>Ngebass.better tonality Free Pro 3. Staging juga enak FP3. di sini 8k nya agak maju banget. tapi bisa di EQ. Sub bass bisa di cut down to 60hz kalo soundcore mentok di 100hz jadi sub bass gak bisa dipotong lagi. kalo ini bisa. cakep. ANC bagus. MIC BUAGUS. ada gaming mode 55 ms delay</t>
  </si>
  <si>
    <t>APTX
AAC</t>
  </si>
  <si>
    <t>9 Jam TWS Only
45 Jam with Case</t>
  </si>
  <si>
    <t>B
-43dB</t>
  </si>
  <si>
    <t>Rank: B+
adjusttable: NO</t>
  </si>
  <si>
    <t>YES
55ms Latency</t>
  </si>
  <si>
    <t>Vshape.
aman bisa di EQ jadi balance</t>
  </si>
  <si>
    <t>Azla Sednaearfit Short</t>
  </si>
  <si>
    <t>Soundpeats Capsule 3 Pro</t>
  </si>
  <si>
    <t xml:space="preserve">Shouty Tajam. bisa di EQ sih cek di tabel EQ. bisa jadi mendingan. Treble agak grainy kasar2 dikit. ya drivernya soundpeats sih. tapi bass bisa dikurangin biar gak terlalu boomy/muddy. batre badak. LDAC. mic lumayan. latency 80ms better air pro 3. kalo ga mentingin suara amat sebenernya not bad banget kok. harganya terbilang terjangkau juga. </t>
  </si>
  <si>
    <t>8 Jam TWS Only
52 Jam with Case</t>
  </si>
  <si>
    <t>YES
80ms Latency</t>
  </si>
  <si>
    <t>Shouty Upper
mids</t>
  </si>
  <si>
    <t>Redmi Buds 4 Pro</t>
  </si>
  <si>
    <t>Neutral with bass boosst tuning. default tuing udah ok compare to default dot3i. mic better juga. enak. good fit. buat yang ga pengen aneh2 simpel langsung sabi. gaskeun ini</t>
  </si>
  <si>
    <t>9 Jam TWS only
36 Jam with case</t>
  </si>
  <si>
    <t>"Rank: B+
adjusttable: NO"</t>
  </si>
  <si>
    <t>Neutral
with Bass Boost</t>
  </si>
  <si>
    <t>Earfun Free 2s</t>
  </si>
  <si>
    <t>LOW LATENCY GAMING MODE. ada custom EQ. suara balance. fun. buat yang ngerasa Dot3i terlalu delay. ini jawabannnya. kekurangannnya gak ada ANC aja sih. EQ nya sampe 60hz yg paling rendah. gak kaya dot3i yg cuma sampe 100. jadi subbassnya bisa disurpress banget kalo gak demen sub bass banyak or kalo demen ya bisa dihajar lagi</t>
  </si>
  <si>
    <t>"APTX
AAC
SBC"</t>
  </si>
  <si>
    <t>7 Jam TWS Only
30 Jam with Case</t>
  </si>
  <si>
    <t xml:space="preserve">Moondrop Golden Ages
</t>
  </si>
  <si>
    <t>6 Jam TWS Only
18 Jam with case</t>
  </si>
  <si>
    <t>YES
-35dB</t>
  </si>
  <si>
    <t>Preset EQ
Reference: Balance
Neutral
Basshead</t>
  </si>
  <si>
    <t>Moondrop
VDSF Balance</t>
  </si>
  <si>
    <t>4 Jam TWS Only
12 Jam with case</t>
  </si>
  <si>
    <t>Yes
55ms</t>
  </si>
  <si>
    <t>Moondrop Ultrasonic</t>
  </si>
  <si>
    <t>tuning is fine, tp belum custom eq, anc tipis. kemahalan. batre 18jam doang. mic biasa aja. imaging dan soundstage terlalu sempit. udah deh Earfun air pro 4 aja. Volume kecil. Kek sama aja kaya space travel suaranya ga beda jauh kalo pun improve. far better merk lain apalagi fitur</t>
  </si>
  <si>
    <t>Soundcore VR P10</t>
  </si>
  <si>
    <t xml:space="preserve">Ultra Low latency di mode pakai dongle. donglenya colok ke type c hape. android only. latency under 30ms. bagi gw 50-60ms aj udah gak terlalu berasa. ini makin lebih ga berasa lagi. suara V shape tapi ada tuningan khusus game juga dia sediakan. bisa konek PS4, PS5, Switch. PC, Leptop, HP. plug and play pake donglenya. </t>
  </si>
  <si>
    <t>AAC
SBC
Dongle 2.4</t>
  </si>
  <si>
    <t>4 jam TWS only
24 jam with case</t>
  </si>
  <si>
    <t>With Dongle
&lt;30ms</t>
  </si>
  <si>
    <t>Soundpeats Mini Pro</t>
  </si>
  <si>
    <t>Skip ke Engine 4, Dot 3i or, Air 2</t>
  </si>
  <si>
    <t>7 Jam TWS Only
21 Jam With Case</t>
  </si>
  <si>
    <t xml:space="preserve">D
</t>
  </si>
  <si>
    <t>YES 60ms
Off = 80 ms</t>
  </si>
  <si>
    <r>
      <rPr>
        <sz val="10"/>
        <color theme="1"/>
        <rFont val="Arial"/>
      </rPr>
      <t xml:space="preserve">Audio Technica SQ1TW2
</t>
    </r>
    <r>
      <rPr>
        <b/>
        <i/>
        <sz val="10"/>
        <color rgb="FFFF0000"/>
        <rFont val="Arial"/>
      </rPr>
      <t>NEW SUPERB MIC</t>
    </r>
  </si>
  <si>
    <t>MIC JERNIH. gak ada noise reduction. Tp cakep banget. Brand bagus tapi suffer banget semua seri TWS nya. ini paling murahnya terbarunya. harganya kemahalan Codec SBC. Tuning preset, tapi Defaultnya V Shape bgt. treble nya too bright. bassnya kebanyaan. ganti preset VOCAL, mid nya bener tapi treblenya nambah bright. Preset BASS, makin v shape. sulit. gada ANC. ada Transparency. apa si maunya? Tp gw akui stylenya aja ama mic udah itu paling bagus. suara driver mah not bad bgt. tinggal tuning aja asli.</t>
  </si>
  <si>
    <t>6.5 Jam TWS Only
20 Jam with case</t>
  </si>
  <si>
    <t>YES
No</t>
  </si>
  <si>
    <t>YES
Preset Only</t>
  </si>
  <si>
    <t>Soundpeats Trueengine3 SE</t>
  </si>
  <si>
    <t>Suara bagus. ada custom EQ. Cukup ngebass. fitting agak sulit ketimbang dot3i. Mic nya bener2 gak kepake jelek banget. daripada dot3i</t>
  </si>
  <si>
    <t>6.5jam TWS only
30 jam with case</t>
  </si>
  <si>
    <t>C++</t>
  </si>
  <si>
    <t>Audio Technica cks50tw</t>
  </si>
  <si>
    <t>Bagus ini, EQ nya bagus. sensitif ketika digerakan even 1dB pun gitu berasa banget. mantep EQ nya bener. ANC nya not on Sony level. suaranya agak banyak di lower mids. ngumpul. that is why gw EQ dan kurangin biar midrange vokal jadi lebih jelas gak muddy. and beneran eq nya bagus. timbre bass juga oke banget.</t>
  </si>
  <si>
    <t>20 Jam TWS Only
50 Jam with case</t>
  </si>
  <si>
    <t>Balance. Lower mid focus. Tp eq
nya oke bgt.</t>
  </si>
  <si>
    <t>Final Audio Type E (for TWS)</t>
  </si>
  <si>
    <t>Redmi Buds 3 Pro</t>
  </si>
  <si>
    <t>Drivernya bagus cukup detailed, midrangenya okay banget gak murahan lah drivernya 9mm DD.
gak boomy. suaranya better than honor earbuds 2 lite. micnya juga bagus banget. better than sony comparable dengan si edifier neobuds pro juga.</t>
  </si>
  <si>
    <t>6 jam TWS Only
28 Hours With case</t>
  </si>
  <si>
    <t>C+
-35dB</t>
  </si>
  <si>
    <t>Honor Earbuds 2 Lite</t>
  </si>
  <si>
    <t>Noise Cancellationnnya bagus dibanding Sondpeats t3. walau awarenessnya menurut gw agak kurang. suaranya tetep ngebas tapi gak sebloated or gak seboomy fantech mithril tx1 pro. batrenya awet 32 jam cuy mantep. pengganti airpods bajet rendah banget ini. cuma better tetep ambil dot3i aja sih</t>
  </si>
  <si>
    <t>10 Jam TWS only
32 Jam With Case</t>
  </si>
  <si>
    <t>Soundcore X10</t>
  </si>
  <si>
    <t>Mayoritas orang akan suka dengan TWS ini. earhooknya nyaman, dipake lari gak goyah. Ada gaming mode. ada ANC. ada mode relakxasi bantu hitung pernapasan. BASS MEGAH LEBAR.</t>
  </si>
  <si>
    <t>YES
8 Band Frequency</t>
  </si>
  <si>
    <t>V Shape/Bassy</t>
  </si>
  <si>
    <t>YES
WATERPROOF 
IPX7</t>
  </si>
  <si>
    <t xml:space="preserve">Lypertek Z3 (mark 2.0)
</t>
  </si>
  <si>
    <t>batrenya 7 + 70 Hours gokil banget anjeeerrr. suaranya juga oke banget dihargai banget powerfull. tuningan oke. not shouty. bass nya pasti suka banget orang2. walau soundstage ga terlalu megah. WATERPROOFnya anjing banget. bisa taro gelas. ceburin aja ke situ aman.Cobain sample ke toko CSI ZONE di pamulang</t>
  </si>
  <si>
    <t>10 Hours TWS only
70 Hours With case</t>
  </si>
  <si>
    <t>YES
7 band
Fixed Frequency</t>
  </si>
  <si>
    <t>Moondrop Nekocake</t>
  </si>
  <si>
    <t>Tunign ok driver ok . ssayangnya codec blutut masih AAC SBC. kalo bisa APTX ini pakai driver yang sama pasti makin ajib sih detail vokal dan simbalnya. ada ANC. dan si notifikasi suara saat ubah mode ANC, konek, dll itu suaranya suara kaya mba mba karakter anime.. sounds so good driver dan tuningan. dan punchy gitu. volume pelan. app kurang ok</t>
  </si>
  <si>
    <t>3 Jam TWS Only
12 Jam with case</t>
  </si>
  <si>
    <t>Rank: D
adjustable: NO</t>
  </si>
  <si>
    <t>Preset EQ
good preset
Moondrop Neutral, 
Balance</t>
  </si>
  <si>
    <t>Balance
Punchy</t>
  </si>
  <si>
    <t>Edifier X3 Pro</t>
  </si>
  <si>
    <t>SBC</t>
  </si>
  <si>
    <t>7 Jam TWS Only
22 Jam with case</t>
  </si>
  <si>
    <t>4 Band EQ</t>
  </si>
  <si>
    <t>Vyatta Airboom ANC S</t>
  </si>
  <si>
    <t>TWS PERTAMA yang ada FERNANDA GUNSAN SIGNATURE Sound. Suaranya mendem by default dan ngebass banget. tapi udah ada EQ preset gw buat benerin itu jadi lebih balance. ANC masih gimik menurut gw masih tipis banget. Mic oke proper. batre Ok. fitting ok. sayang drivernya dan suara defaultnya bisa lebih baik lagi. semoga produk lokal bisa berkembang lagi</t>
  </si>
  <si>
    <t>30 Jam with case</t>
  </si>
  <si>
    <t>Custom EQ
+ Fernanda Gunsan
SIGNATURE
Langsung di APP
Smart Life</t>
  </si>
  <si>
    <t>Warm</t>
  </si>
  <si>
    <t>Yes
IPX4</t>
  </si>
  <si>
    <r>
      <rPr>
        <sz val="10"/>
        <color theme="1"/>
        <rFont val="Arial"/>
      </rPr>
      <t xml:space="preserve">Sony WI-C100
</t>
    </r>
    <r>
      <rPr>
        <b/>
        <i/>
        <sz val="10"/>
        <color rgb="FFFF00FF"/>
        <rFont val="Arial"/>
      </rPr>
      <t>Custom EQ Neckband</t>
    </r>
  </si>
  <si>
    <t>Neckband bagus. Micnya bagus. suaranya balance better than In Ear kabel sony yang 300 rebuan ke bawah. mending ini. ada custom EQ. ada kontrol play pause next previous dan volume.  DSEE Upscale sample ala sony. Enakan ini daripada xb400 trust me. apa lagi yang xb400 juga gak bisa di EQ di app sony.</t>
  </si>
  <si>
    <t>25 Jam</t>
  </si>
  <si>
    <t>Edifier TWS1 Pro 2</t>
  </si>
  <si>
    <t>suara warm lebar ok sebnenerya, tapi codec masi SBC. treblenya masi kerasa compressed. soundstagenya sebenernya enak2 aja. sayang di treble nya aj. mic dan ANC ok bgt jg</t>
  </si>
  <si>
    <t>6 Jam TWS only
24 Jam with Case</t>
  </si>
  <si>
    <t>C+
-42dB</t>
  </si>
  <si>
    <t>Samsung Galaxy Buds Core</t>
  </si>
  <si>
    <t>9.5 jam TWS no ANC
35 jam case</t>
  </si>
  <si>
    <t>Yes
No</t>
  </si>
  <si>
    <t>Preset</t>
  </si>
  <si>
    <t>YES
di samsung</t>
  </si>
  <si>
    <t>Muffled Muddy
boomy</t>
  </si>
  <si>
    <t>IPX2</t>
  </si>
  <si>
    <t xml:space="preserve">Samsung Buds FE
</t>
  </si>
  <si>
    <t>Bnyk yg nanya. agak muddy. ngebass. ga bisa custom EQ. mic b banget. keunggulan "nama samsung" lalu anc dan fit ok. kenapa anc ok? karena fit ok. fit ok gimana? ngeseal telinga banget dan ada karet atas tambahan buat nutup seal telinga. passive isolation bagus. anc bagus. sisanya gak banget. cuma buat org butuh ANC ga peduli EQ, gak mesti diyakinkan gua. kalo lu suka beli aja. gapapa banget. dah yaak</t>
  </si>
  <si>
    <t>8 jam TWS no ANC
30 jam case</t>
  </si>
  <si>
    <t>Vyatta Airboom Pro S</t>
  </si>
  <si>
    <t>ada custom eq. pakai Tuya Apps. EQ nya inget kesave di TWS langsung. 
fitting oke batre 32 jam. sayang banyak yang bilang gampang rusak</t>
  </si>
  <si>
    <t>8 jam TWS Only
32 jam with case</t>
  </si>
  <si>
    <t xml:space="preserve"> NO</t>
  </si>
  <si>
    <t>Vyatta Airboom Smart</t>
  </si>
  <si>
    <t>Skip ke Soundpeats Clear or R50i NC aja</t>
  </si>
  <si>
    <t xml:space="preserve">7 jam TWS only
</t>
  </si>
  <si>
    <t>Balance, Bassy</t>
  </si>
  <si>
    <t>Huawei Freebuds SE</t>
  </si>
  <si>
    <t>Lu bisa beli pengganti TWS nya satu uni sebelah doang kalo sebelahnya ilang or bisa beli casenya terpisah. suaranya v shape bass nendang powerful. most people will like this. better than R100 and p2i . Nothing special. dot3i is better</t>
  </si>
  <si>
    <t>Balance cenderung
Bassy + Punchy</t>
  </si>
  <si>
    <t>Baseus Bowie M2S</t>
  </si>
  <si>
    <t xml:space="preserve">Drivernya aneh jelek. kalo pake EQ preset drivernya jadi bagus. pake custom EQ yang FLAT aja malah berubah totally. gw udah otak atik segimanapun. gak bisa ketolong suaranya jadi secakep at least Dot3i gak bisa. driver dot3i lebih superior dibanding ini. Resolusinya kurang jernih. bukan masalah tuningan yaa. ini driver. tapi sisanya ya aman aja sih. ANC, Mic not bad. </t>
  </si>
  <si>
    <t>5 Jam TWS Only
30 Jam with Case</t>
  </si>
  <si>
    <t>YES
8 Band
Fixed Frequency
My EQ Click Here</t>
  </si>
  <si>
    <t>Eggel Quietbuds Neo</t>
  </si>
  <si>
    <t>Suara lumayan. Bisa di EQ. tapi EQ ga practical harus disave dulu baru kedengeran ngaruhnya. control terbatas. kalo diganti volume, ga bisa play and pause. cuma ada dobel dan tripel tap. ANC yang penting ada. ga rekomen si. budget segini tuh udah lah gausah ANC. malah mendingan batre banyak kaya Soundpeats Clear</t>
  </si>
  <si>
    <t>25 Jam with case</t>
  </si>
  <si>
    <t>D
-40dB</t>
  </si>
  <si>
    <t>YES
10 Band Frequency</t>
  </si>
  <si>
    <t>Boomy V Shape</t>
  </si>
  <si>
    <t>Edifier X3s</t>
  </si>
  <si>
    <t>Suaranya bright. sayang banget. micnya not bad. APTX sih tapi kalo bright ya agak sulit buat nikmatinnya</t>
  </si>
  <si>
    <t>8 jam tws only
28 jam with case</t>
  </si>
  <si>
    <t>Fantech Mithril Tx1 Pro</t>
  </si>
  <si>
    <t>tuningannya aman enak. bassnya ada vokal jernih. tuningan fun but aman. fitur gaming mode ada. walau cuma ada format AAC. tp ini worth di harga segini ada EQ ada fitur find my TWS</t>
  </si>
  <si>
    <t>up to 8 Jam
di webnya ditulis
gitu doang</t>
  </si>
  <si>
    <t>Bassy/Boomy</t>
  </si>
  <si>
    <t>Vyatta Airboom ANC</t>
  </si>
  <si>
    <t>Kalo lu pengen cobain TWS yang ada ANC-nya This is a good start. walau cuma -25dB lu bisa rasain ANC. sialnya Soundnya kurang oke. tapi aman gak sakit. Boomy warm. casing dan bahan twsnya kaya rasanya ringkih juga. Kerennya garansi 12 bulan bisa tuker baru. syarat dan ketentuan berlaku</t>
  </si>
  <si>
    <t>4 Jam TWS Only
15 Jam with case</t>
  </si>
  <si>
    <t>E
-25 dB</t>
  </si>
  <si>
    <t>Rank: E
adjustable: NO</t>
  </si>
  <si>
    <t>Boomy Warm</t>
  </si>
  <si>
    <t>YES
!PX5</t>
  </si>
  <si>
    <t>Soundcore P2i</t>
  </si>
  <si>
    <t>Skip ke R50i or Soundpeats Clear aja</t>
  </si>
  <si>
    <t>6.5 Jam TWS Only
28 Jam with case</t>
  </si>
  <si>
    <t>Preset Bass
Preset Podcast</t>
  </si>
  <si>
    <t>Soundcore R50i</t>
  </si>
  <si>
    <t>10jam TWS only
30jam with case</t>
  </si>
  <si>
    <t>22EQ Preset
Gw pakai yang Bass Reducer</t>
  </si>
  <si>
    <t>Warm Bassy</t>
  </si>
  <si>
    <r>
      <rPr>
        <sz val="10"/>
        <color theme="1"/>
        <rFont val="Arial"/>
      </rPr>
      <t xml:space="preserve">Soundpeats T3 Pro
</t>
    </r>
    <r>
      <rPr>
        <b/>
        <i/>
        <sz val="10"/>
        <color rgb="FFFF0000"/>
        <rFont val="Arial"/>
      </rPr>
      <t>NEW</t>
    </r>
  </si>
  <si>
    <t>???</t>
  </si>
  <si>
    <t>7 Jam TWS only
28 jam with case</t>
  </si>
  <si>
    <t>E</t>
  </si>
  <si>
    <t>Custom EQ ada
tp mager ah</t>
  </si>
  <si>
    <t>YES
80MS</t>
  </si>
  <si>
    <t>Butek Bassy</t>
  </si>
  <si>
    <t xml:space="preserve">Realme T110
</t>
  </si>
  <si>
    <t>7 Jam TWS only
38jam with case</t>
  </si>
  <si>
    <t>3 EQ Preset
Balance, Bass Boost,
Bright</t>
  </si>
  <si>
    <t>YES
88MS</t>
  </si>
  <si>
    <t>Nakamichi TW018s</t>
  </si>
  <si>
    <t>Nice, smooth sounding. cukup balance dengan emphasis more di sub bass. gak ngedumel lah [pokoknya denger suara di sini. lebih smooth dari r50i. r50i lebih punchy dan soundstage lebar. mic bagus</t>
  </si>
  <si>
    <t>24jam with case</t>
  </si>
  <si>
    <t>Soundcore R100</t>
  </si>
  <si>
    <t>Discontinue ke R50i NC aja</t>
  </si>
  <si>
    <t>6.5 Jam TWS Only
25 Jam with case</t>
  </si>
  <si>
    <t>Bass Boost Mode</t>
  </si>
  <si>
    <t>Soundtech s16</t>
  </si>
  <si>
    <t>skip ke R50i NC or Clear aja</t>
  </si>
  <si>
    <t>5 jam TWS only
with case no info</t>
  </si>
  <si>
    <t>Soundcore a20i</t>
  </si>
  <si>
    <t>Mendem warm. leebih agak sedikit bassnya dibanding r50i. overall consumer si menurut gw ambil R50i aja. micnya lebih bagus. suaranya juga fun. ini kaya lebih butek lagi midnya. batre jg banyakan r50i</t>
  </si>
  <si>
    <t>9jam TWS only
28jam with case</t>
  </si>
  <si>
    <t>Soundpeats Truefree 2</t>
  </si>
  <si>
    <t>Hadeuh yang kae gini bisa viral gw heran banget sama lu pada nyuruh gw beli ini. heran banget asli. driver butek. mendem. r50i aja udah cukup mendem tapi malah lebih jernih r50i pakai EQ yang BASS REDUCER. batre juga banyakan R50i 30 jam. ada pula mode gaming.. ini casing gede. TWS nya gede banget pula fittingnya. malah batrenya kecil. aneh. ngabis2in duit aja disuruh beli ini T_T</t>
  </si>
  <si>
    <t>20 Jam with Case
yg tws only infonya gak disediain sama soundpeats</t>
  </si>
  <si>
    <t>Soundpeats T3</t>
  </si>
  <si>
    <t>Skip ke R50i NC saja</t>
  </si>
  <si>
    <t>19 Jam with Case</t>
  </si>
  <si>
    <t>YES
-24dB</t>
  </si>
  <si>
    <t>eartips bisa diganti. tipe bulet</t>
  </si>
  <si>
    <t>Eggel Energy Buds Pro</t>
  </si>
  <si>
    <t>Too boomy adalah tidak bagus bagi saya. bener2 offside banget bassnya. mic juga kurs</t>
  </si>
  <si>
    <t>8 Jam tws only
32 jam with case</t>
  </si>
  <si>
    <t>Boomy Bassy</t>
  </si>
  <si>
    <t>dBe Seikabuds pro/elite</t>
  </si>
  <si>
    <t>Pkooknya mendem. drivernya lebih bagus clear, tozo. sekip saja. harga kemahalan</t>
  </si>
  <si>
    <t>dBe TWS10</t>
  </si>
  <si>
    <t>Pertama kalinya dBe brand audio indo bikikn TWS. not bad buat musik. tapi fiturnya banyakan pistonbuds sih</t>
  </si>
  <si>
    <t>NO INFO</t>
  </si>
  <si>
    <t>1More Pistonbuds</t>
  </si>
  <si>
    <t>Ini murmer tapi masi oke. cuma high agak kurang jernih aja. soundstage lebar di bagian bass. ini sudah terjual 300 unit lebih di akun tiktok gw</t>
  </si>
  <si>
    <t>3.5 Jam TWS Only
20 Jam with case</t>
  </si>
  <si>
    <t>Bassy Warm</t>
  </si>
  <si>
    <t>Moondrop Robin</t>
  </si>
  <si>
    <t xml:space="preserve">Tidak perlu direview. jelek. gak koheren. highnya terlalu ngecring. buat harga yagn 1.9 juta kamu membeli barang yang terlalu overpriced. mungkin hanya untuk wibu kolektor, or fashion accesories. </t>
  </si>
  <si>
    <t>LDAC
AAC</t>
  </si>
  <si>
    <t>No info</t>
  </si>
  <si>
    <t>Aukey</t>
  </si>
  <si>
    <t>Kalo ini bassnya kebanyakan</t>
  </si>
  <si>
    <t>boomy warm</t>
  </si>
  <si>
    <t>Baseus Encok WM02</t>
  </si>
  <si>
    <t>skip aja gausah dibeli. kurang bagus.</t>
  </si>
  <si>
    <t>No Info</t>
  </si>
  <si>
    <t>Baseus E19</t>
  </si>
  <si>
    <t>resolusi butek, no app support, mic jelek, tuning bassy parah boomy bloated. Skip aja ke realme t110 or soundcore r50i</t>
  </si>
  <si>
    <t>Jabra Elite 2</t>
  </si>
  <si>
    <t>overpriced. Ini tuningannya aman. tapi belom ada ANC yg beneran bisa diatur kaya si 1More comfobuds pro. EQ masih preset .dan find my TWS. Not bad tapi banyak yang lebih baik aja sih. kaya dot3i</t>
  </si>
  <si>
    <t>7 Jam TWS only
21 Jam with case</t>
  </si>
  <si>
    <t>Sound</t>
  </si>
  <si>
    <t>Transparency
Adjustable?</t>
  </si>
  <si>
    <t>Technicality</t>
  </si>
  <si>
    <t>Overall</t>
  </si>
  <si>
    <t>Mic Test LINK
+ Rank</t>
  </si>
  <si>
    <t xml:space="preserve">Gaming Modre
Low Latency </t>
  </si>
  <si>
    <t>IP Rate</t>
  </si>
  <si>
    <r>
      <rPr>
        <sz val="10"/>
        <color theme="1"/>
        <rFont val="Arial"/>
      </rPr>
      <t xml:space="preserve">JBL Live Flex 3
</t>
    </r>
    <r>
      <rPr>
        <b/>
        <i/>
        <sz val="10"/>
        <color rgb="FFFF0000"/>
        <rFont val="Arial"/>
      </rPr>
      <t>Best Sounding Half in Ear</t>
    </r>
  </si>
  <si>
    <t>The best Sounding Half In Ear TWS. Timbrenya edan banget. natural banget. gigit banget terang jelas midsnya kebuka banget soundsatgenya. bassnya pun nampol dengan rumble yang lebar. ANC juga berasa. tapi gak sekedap airpods. tapi ga bikin mual juga enaknya. This is probably the best JBL TWS out there blm ada half in ear yg suaranya kae gini. Justru yang pake karetnya si JBL ini mash kalah rata2 sama TWS lain.</t>
  </si>
  <si>
    <t>10 Jam TWS only
50 Jam + Case</t>
  </si>
  <si>
    <t xml:space="preserve">YES
</t>
  </si>
  <si>
    <t>Yes
Adjustable: NO</t>
  </si>
  <si>
    <t>Yes
10 Band EQ</t>
  </si>
  <si>
    <t>Airpods 4 ANC</t>
  </si>
  <si>
    <t>5 jam tws only
30 jam with case</t>
  </si>
  <si>
    <t>Balance to Bright</t>
  </si>
  <si>
    <r>
      <rPr>
        <sz val="10"/>
        <color theme="1"/>
        <rFont val="Arial"/>
      </rPr>
      <t xml:space="preserve">Xiaomi Buds 5
</t>
    </r>
    <r>
      <rPr>
        <b/>
        <i/>
        <sz val="10"/>
        <color rgb="FFFF0000"/>
        <rFont val="Arial"/>
      </rPr>
      <t>God Tier 
Value for Quality</t>
    </r>
  </si>
  <si>
    <r>
      <rPr>
        <b/>
        <i/>
        <sz val="10"/>
        <color rgb="FFFF0000"/>
        <rFont val="Arial"/>
      </rPr>
      <t xml:space="preserve">aptX Lossless
</t>
    </r>
    <r>
      <rPr>
        <sz val="10"/>
        <color theme="1"/>
        <rFont val="Arial"/>
      </rPr>
      <t>aptX
AAC
SBC</t>
    </r>
  </si>
  <si>
    <t>6.5 jam tws only
39 jam + case</t>
  </si>
  <si>
    <r>
      <rPr>
        <sz val="10"/>
        <color theme="1"/>
        <rFont val="Arial"/>
      </rPr>
      <t xml:space="preserve">Sennheiser Accentum Open
</t>
    </r>
    <r>
      <rPr>
        <b/>
        <i/>
        <sz val="10"/>
        <color rgb="FFFF0000"/>
        <rFont val="Arial"/>
      </rPr>
      <t>Best Fit &amp; Default Tonal</t>
    </r>
  </si>
  <si>
    <t>Tonal default lumayan balance, bagus. agak boosted di high dikit. mid to sub balance banget. fittingnya bagus. bahannya agak matte gak glossy kaya xiaomi/samsung/jbl lebih tidak rentan untuk begeser di telinga, sehingga suara stabil. belum ada APP buat atur EQ. belum ada ANC. mic standar. Garansi 2 tahun</t>
  </si>
  <si>
    <t>6.5 jam tws only
28 jam + case</t>
  </si>
  <si>
    <r>
      <rPr>
        <sz val="10"/>
        <color theme="1"/>
        <rFont val="Arial"/>
      </rPr>
      <t xml:space="preserve">Samsung Buds 3
</t>
    </r>
    <r>
      <rPr>
        <b/>
        <i/>
        <sz val="10"/>
        <color rgb="FFFF0000"/>
        <rFont val="Arial"/>
      </rPr>
      <t>NEW</t>
    </r>
  </si>
  <si>
    <t>Mid bass ke sub bass lumayan boosted menimbulkan kesan muffled. cut di 500, 250, 100, 60 antara itu perlu di cut biar lebih dapet clarity mid to high nya. fit lebih ngunci dan ga selicin xiaomi buds5. karena fit lebi ngunci jadi ANC bisa perform lebi baik. ttp gk kaya tws karet tapi yak. alasan pake samsung pake ini jg? kalo ga suka karet eartips dan pengen multipoint &amp; less latency nya. sisanya very usable di android apapun</t>
  </si>
  <si>
    <t>6 jam tws only
30 jam + case</t>
  </si>
  <si>
    <t>YES
Samsung only</t>
  </si>
  <si>
    <t>Bassy</t>
  </si>
  <si>
    <t>Yes
Samsung only</t>
  </si>
  <si>
    <r>
      <rPr>
        <sz val="10"/>
        <color theme="1"/>
        <rFont val="Arial"/>
      </rPr>
      <t xml:space="preserve">Tozo A3
</t>
    </r>
    <r>
      <rPr>
        <b/>
        <i/>
        <sz val="10"/>
        <color rgb="FFFF0000"/>
        <rFont val="Arial"/>
      </rPr>
      <t>NEW Recommended</t>
    </r>
  </si>
  <si>
    <t>7 jam tws only
30 jam + case</t>
  </si>
  <si>
    <t xml:space="preserve">Soundcore K20i
</t>
  </si>
  <si>
    <t>6 jam tws only
36 jam + case</t>
  </si>
  <si>
    <r>
      <rPr>
        <sz val="10"/>
        <color theme="1"/>
        <rFont val="Arial"/>
      </rPr>
      <t xml:space="preserve">Soundpeats Air 5
</t>
    </r>
    <r>
      <rPr>
        <b/>
        <i/>
        <sz val="10"/>
        <color rgb="FFFF0000"/>
        <rFont val="Arial"/>
      </rPr>
      <t>New</t>
    </r>
  </si>
  <si>
    <r>
      <rPr>
        <b/>
        <i/>
        <sz val="10"/>
        <color rgb="FFFF0000"/>
        <rFont val="Arial"/>
      </rPr>
      <t xml:space="preserve">aptX Lossless
</t>
    </r>
    <r>
      <rPr>
        <sz val="10"/>
        <color theme="1"/>
        <rFont val="Arial"/>
      </rPr>
      <t>aptX
AAC
SBC</t>
    </r>
  </si>
  <si>
    <t>YES
8 Band EQ</t>
  </si>
  <si>
    <t>IPx5</t>
  </si>
  <si>
    <t xml:space="preserve">Moondrop Block
 </t>
  </si>
  <si>
    <t xml:space="preserve">Imaging bagus. separasi jelas. seperti ada ruang yang lebar kek kiri dan ke kanan. Tonality lumayan neutral banget. bass is present but fittingnya lumayan gak ngegrip ya. Flathead. mgkin buat yg ud hobi lama earbuds pgn TWS masih bisa nerima ini.  tp cukup neutral dan banyak lower midsnya kalo menurut gw. Kalo cuma cari TWS murmer banyak fitur mic bagus dll. mending beli K20i saja sudah lebih dari cukup. </t>
  </si>
  <si>
    <t>6 jam tws only
21 jam + case</t>
  </si>
  <si>
    <t xml:space="preserve">Soundpeats Air4 Lite
</t>
  </si>
  <si>
    <t>iin fit nya enak banget. half ear tapi bagian yang ngadep lubang telinganya itu nyangkutnya enak. suara bisa di EQ. cakeps. ga sedetil TWS karet tapi fitur banyak. LDAC. cut eq, multipoint</t>
  </si>
  <si>
    <t xml:space="preserve">Rapatech Air Dual ENC ii 
</t>
  </si>
  <si>
    <r>
      <rPr>
        <sz val="10"/>
        <color theme="1"/>
        <rFont val="Arial"/>
      </rPr>
      <t xml:space="preserve">Dapet banget bassnya. kalo terlalu dimasukin lobang telinga jadi terlalu ngebass tapi coba lu geser2 dikit bisa pass banget suaranya enak jadi balance. Mic juga ok banget. harganya pas. kualitas mic dan suara bagus. kekurangan paling gak ada APP aja tapi suaranyha untuk Half In ear ok banget. </t>
    </r>
    <r>
      <rPr>
        <b/>
        <i/>
        <sz val="10"/>
        <color theme="1"/>
        <rFont val="Arial"/>
      </rPr>
      <t>GARANSI 2 TAHUN</t>
    </r>
  </si>
  <si>
    <t>24 jam with case</t>
  </si>
  <si>
    <t>Soundcore Life Note3s</t>
  </si>
  <si>
    <t xml:space="preserve">Gue gasuka TWS tanpa karet eartips tapi ini salah satu half ear/earbuds yg cakep fiturnya. ada  CUSTOM EQ BRADER. warnanya yg krem asyik. fitting oke. MIC BUAGUS. </t>
  </si>
  <si>
    <t>35 jam with case</t>
  </si>
  <si>
    <r>
      <rPr>
        <sz val="10"/>
        <color theme="1"/>
        <rFont val="Arial"/>
      </rPr>
      <t xml:space="preserve">Huawei Freebuds SE 2
</t>
    </r>
    <r>
      <rPr>
        <b/>
        <i/>
        <sz val="10"/>
        <color rgb="FFFF0000"/>
        <rFont val="Arial"/>
      </rPr>
      <t>King of Mic</t>
    </r>
  </si>
  <si>
    <t>TWS tanpa karet yang mic nya bagus. batrenya bagus. ada preset EQ. bass berasa. gak ada log di kiri kanan.</t>
  </si>
  <si>
    <t>9 Jam TWS Only
40 Jam with case</t>
  </si>
  <si>
    <t>Sabbat x12 Pro</t>
  </si>
  <si>
    <t>bentuk kaya earbuds airpds, jd ga perlu pake eartips dan gak akan mendelep dalem. tuningan enak, balance dan fun, fokalnya juga gak peak dan tajem.. enak kok,cm fitur gak banyak aja. sama dia bukan disentuh buat kontrolnya ditekan di telinga, seperti tombol gitu bukan touch</t>
  </si>
  <si>
    <t>6 jam TWS only
24 jam with case</t>
  </si>
  <si>
    <r>
      <rPr>
        <sz val="10"/>
        <color theme="1"/>
        <rFont val="Arial"/>
      </rPr>
      <t xml:space="preserve">Soundpeats Clearpods
</t>
    </r>
    <r>
      <rPr>
        <b/>
        <i/>
        <sz val="10"/>
        <color rgb="FFFF0000"/>
        <rFont val="Arial"/>
      </rPr>
      <t>NEW</t>
    </r>
  </si>
  <si>
    <t>Kureng. driver ga enak. udah k20i aja.</t>
  </si>
  <si>
    <t>40 jam with case</t>
  </si>
  <si>
    <t>Soundpeats Air3</t>
  </si>
  <si>
    <t>ada APTX dan gaming modenya buat maen game. dan utamanya ini GAPAKE EARTIPS. buat yang suka ala2 airpods. ini dia jawabannya yah</t>
  </si>
  <si>
    <t>17.5 Jam with case</t>
  </si>
  <si>
    <t>Nakamichi TWS1xs</t>
  </si>
  <si>
    <t>earbuds. warm. mic kurang ok. batrenya kurang oke. suaranya untuk earbuds yaa mayan dah buat kaum mendang mending</t>
  </si>
  <si>
    <t>info batre kaco. 
boros</t>
  </si>
  <si>
    <t>D+</t>
  </si>
  <si>
    <t>Robot Flybuds T50</t>
  </si>
  <si>
    <t>Upgradenya T10 lebih lama batrenyaa... suara lebih better juga dikit</t>
  </si>
  <si>
    <t>6 jam tws only
32 jam with case</t>
  </si>
  <si>
    <t>Robot Flybuds T10</t>
  </si>
  <si>
    <t>Kalo mau beli TWS murah, mending cari yg gini, garansi 1tahun ganti baru. bentuk earbuds, bagi yg dr kemaren cari tanpa karet eartips. sudah blutut 5.3 batre awet 25 jam.</t>
  </si>
  <si>
    <t>5 jam TWS only
25 jam with case</t>
  </si>
  <si>
    <t>Lenovo LP1 pro</t>
  </si>
  <si>
    <t>suaranya gak bagus. tapi kalo memang butuhnya earbuds yang kae gini ya silakan aja.. agak cempreng2 gimana gitu deh</t>
  </si>
  <si>
    <t>bright</t>
  </si>
  <si>
    <t>I DO NOT LIKE ANY KIND OF OPEN EAR TWS 
But since you ask for it, here is the Kitab for you
Memang desainnya ga bisa enak suaranhya kaya in ear. ini buat "biar ada suara aja"  ketika olaraga</t>
  </si>
  <si>
    <t>Fitting</t>
  </si>
  <si>
    <t>Battery</t>
  </si>
  <si>
    <r>
      <rPr>
        <sz val="10"/>
        <color theme="1"/>
        <rFont val="Arial"/>
      </rPr>
      <t xml:space="preserve">Soundcore Aerofit 2
</t>
    </r>
    <r>
      <rPr>
        <b/>
        <i/>
        <sz val="10"/>
        <color rgb="FFFF0000"/>
        <rFont val="Arial"/>
      </rPr>
      <t>HIGHLY VALUABLE</t>
    </r>
  </si>
  <si>
    <t>Fittingnya bisa ada cetekan di antar driver dengan hooknya. jadi bisa diatur bisa lebih diarahin ke lubang gelinga sehingga bass lebih direct aja kedengerannya</t>
  </si>
  <si>
    <t>10 Jam Playback
42 Jam + Case</t>
  </si>
  <si>
    <r>
      <rPr>
        <sz val="10"/>
        <color theme="1"/>
        <rFont val="Arial"/>
      </rPr>
      <t xml:space="preserve">Sony Linkbuds Open
</t>
    </r>
    <r>
      <rPr>
        <b/>
        <i/>
        <sz val="10"/>
        <color rgb="FFFF0000"/>
        <rFont val="Arial"/>
      </rPr>
      <t>King of Open ear Fit</t>
    </r>
  </si>
  <si>
    <t>dia ada kaya nike zoom gitu kek sepatu ada air bag di budsnya. bentuk drivernya bolong sehingga suara lolos langsung masuk ke telinga. cek aja video gue yaaahh. ini oke banget. dan unique banget belum ada yang kae gini</t>
  </si>
  <si>
    <t>22 Jam</t>
  </si>
  <si>
    <r>
      <rPr>
        <sz val="10"/>
        <color theme="1"/>
        <rFont val="Arial"/>
      </rPr>
      <t xml:space="preserve">Xiaomi OpenWear Stereo Pro
</t>
    </r>
    <r>
      <rPr>
        <b/>
        <i/>
        <sz val="10"/>
        <color rgb="FFFF0000"/>
        <rFont val="Arial"/>
      </rPr>
      <t>KING OF OWS MIC</t>
    </r>
  </si>
  <si>
    <t>Fitting kecil ok. slightly lebih kecil dari aerofit cuma gak bisa diadjust aja posisi driver. tpai ya aman lah</t>
  </si>
  <si>
    <t>8.5 Jam Playback
45 Jam + case</t>
  </si>
  <si>
    <t>Huawei Freearc</t>
  </si>
  <si>
    <t>Ini oke aja aman aja. ada EQ nya juga. not a bad product. tapi compared to Soundcore better separation adn bass di soundocre aerofit 2. micnya aduh kureng banget. kalah jauh sama Xiaomi. App ya perlu download APK dari Huawei. tidak ribet tapi ya gak lewat google play aja</t>
  </si>
  <si>
    <t>Fitting kurg lebih kaya Xiaomi tp agak lebih gede ini dikit</t>
  </si>
  <si>
    <t>7 Jam Playback
28 Jam + case</t>
  </si>
  <si>
    <t>Earfun Open Jump</t>
  </si>
  <si>
    <t xml:space="preserve">Lebih bagus dari V20i, tapi belum se amazing Aerofit 2. suara ok. 
gak akan rugi. </t>
  </si>
  <si>
    <t>fittingnya di dalam lekukannya itu terbuat dari kaya semacam kawat. jadi bisa lu tarik2 dulu sebelum pasang. bengkok2in bagus enak dan bisa pas. agak kurang praktis tapi works</t>
  </si>
  <si>
    <t>11 Jam Playback
42 Jam + case</t>
  </si>
  <si>
    <t>IPX7</t>
  </si>
  <si>
    <r>
      <rPr>
        <sz val="10"/>
        <color theme="1"/>
        <rFont val="Arial"/>
      </rPr>
      <t xml:space="preserve">Soundcore V20i
</t>
    </r>
    <r>
      <rPr>
        <b/>
        <i/>
        <sz val="10"/>
        <color rgb="FFFF0000"/>
        <rFont val="Arial"/>
      </rPr>
      <t>Budget Starter Kit</t>
    </r>
  </si>
  <si>
    <t>Kurang lebih kaya Aerofit 2. minus bandul batre</t>
  </si>
  <si>
    <t>8 Jam Playback
36 Jam + Case</t>
  </si>
  <si>
    <r>
      <rPr>
        <sz val="10"/>
        <color theme="1"/>
        <rFont val="Arial"/>
      </rPr>
      <t xml:space="preserve">Soundpeats Pearlclip
</t>
    </r>
    <r>
      <rPr>
        <b/>
        <i/>
        <sz val="10"/>
        <color rgb="FFFF0000"/>
        <rFont val="Arial"/>
      </rPr>
      <t>Anting Bagus</t>
    </r>
  </si>
  <si>
    <t>Surprisingly good. dan MURAH! itu yang penting. untuk OWS murmer2 aja. gausah mewah2 sih, kaya pakai headphone openback. tapi natural bgt soundnya. bass ga banyak. but definitely more extended than moondrop pill</t>
  </si>
  <si>
    <t xml:space="preserve"> di gua fittingnya kalo lagi minyakan telinganya bisa turun2 dikit.</t>
  </si>
  <si>
    <t xml:space="preserve">6 Jam Playback
18 Jam + Case
</t>
  </si>
  <si>
    <r>
      <rPr>
        <sz val="10"/>
        <color theme="1"/>
        <rFont val="Arial"/>
      </rPr>
      <t xml:space="preserve">Earfun Clip
</t>
    </r>
    <r>
      <rPr>
        <b/>
        <i/>
        <sz val="10"/>
        <color rgb="FFFF0000"/>
        <rFont val="Arial"/>
      </rPr>
      <t>Anting Bagus</t>
    </r>
  </si>
  <si>
    <t>Oke. agak bright. tombol fisik gak gampang ke senggol. ada custom EQ. bisa bikin warm. gak terlalu ngebass. TWS gini kalo lu push eq bassnya malah turn volumenya. emang sengaja. logic buat orang yang ga ngerrti EQ biar aman. biar gak distorsi. karena ini driver open ear emang gak akan sengebass driver tws karet. mic bagus dari moondrop pill. volume lebih kenceng dari moondrop pill. Codec LDAC, ada multipoint</t>
  </si>
  <si>
    <t xml:space="preserve">jepit anting. </t>
  </si>
  <si>
    <t>10 Jam Playback
40 Jam + Case</t>
  </si>
  <si>
    <r>
      <rPr>
        <sz val="10"/>
        <color theme="1"/>
        <rFont val="Arial"/>
      </rPr>
      <t xml:space="preserve">Philips TAQ2000
</t>
    </r>
    <r>
      <rPr>
        <b/>
        <i/>
        <sz val="10"/>
        <color rgb="FFFF0000"/>
        <rFont val="Arial"/>
      </rPr>
      <t>Anting Murmer Ok</t>
    </r>
  </si>
  <si>
    <t>Moondrop Pill</t>
  </si>
  <si>
    <t>Tonally oke sebenernya. yang bass preset jg udh oke. cuma volumenya kecil gak sekencng earfun. utamanya kalo lu pakai outdoor kena suara lalu lintas gitu agak kurg oke pasti. timbre good. driver good. mic not bad. AAC codec</t>
  </si>
  <si>
    <t>8 Jam Playback
20 Jam + Case</t>
  </si>
  <si>
    <t>Soundpeats Go free2 +</t>
  </si>
  <si>
    <t>ya okelah since v30i gak dijual lagi. kurang lebih mirip2,  low latency mode</t>
  </si>
  <si>
    <t>Open tapi drivernya agak ke depan lobang.
2 unit terpisah digantung d masing-masing kuping</t>
  </si>
  <si>
    <t>30jam</t>
  </si>
  <si>
    <t>Soundcore V30i</t>
  </si>
  <si>
    <t>Suara bass yang paling dapet banget. dan gak lebay. nyaman. Lebih bagus malah dari Soundcore yg 2 juta Aerofit, or even Sony Float Run</t>
  </si>
  <si>
    <t>36 Jam</t>
  </si>
  <si>
    <t>Soundpeats Runfree</t>
  </si>
  <si>
    <t xml:space="preserve">ini kalo mau dikalungin udah lumayan okelah... suaranya juga lumayan ngebass. </t>
  </si>
  <si>
    <t xml:space="preserve">dikalungin keras. </t>
  </si>
  <si>
    <t>17 jam</t>
  </si>
  <si>
    <t>Soundcore Aerofit Pro</t>
  </si>
  <si>
    <t>Mahal juga ini fiturnya banyak. cuma suaranya masih kalah ama yang V30i</t>
  </si>
  <si>
    <t>Open tapi drivernya agak ke depan lobang.
2 unit terpisah digantung d masing-masing kuping. + dapet kaya ring tambahan gitu buat gantung d leher</t>
  </si>
  <si>
    <t>46 Jam</t>
  </si>
  <si>
    <t>Sony Floatrun</t>
  </si>
  <si>
    <t>Masi okelah. masi agak balance. tidak ada getar2 aneh kaya Shokz</t>
  </si>
  <si>
    <t>bentuk ada ring mengelilingi leher. driver maju ke arah dahi pengguna. miring axisnya mengarah ke lubang</t>
  </si>
  <si>
    <t>10 jam</t>
  </si>
  <si>
    <t>Huawei FreeClip</t>
  </si>
  <si>
    <t xml:space="preserve">Fittingnya sangat meragukan untuk bener2 ngunci. serem. suara ya kaya loudspeaker hape di deketin ke telinga aja. Cocokb uat cewek2 gemes bergaya Y2K sebagai aksesoris </t>
  </si>
  <si>
    <t>2 unit terpisah dijepit di daun telinga</t>
  </si>
  <si>
    <t>36 jam</t>
  </si>
  <si>
    <t>Shokz Openrun</t>
  </si>
  <si>
    <t>Sangat tidak enak, ada geter2 bikin geli pusing gaenak. kemahalan. Suara kaco.</t>
  </si>
  <si>
    <t>bentuk ada ring mengelilingi leher. driver maju ke arah dahi pengguna. miring axisnya mengarah ke lubang
bagian belakang telinganya geter-geter</t>
  </si>
  <si>
    <t>8 Jam</t>
  </si>
  <si>
    <t>IP67</t>
  </si>
  <si>
    <r>
      <rPr>
        <sz val="10"/>
        <color rgb="FF1155CC"/>
        <rFont val="Arial"/>
        <family val="2"/>
        <scheme val="minor"/>
      </rPr>
      <t xml:space="preserve">Soundcore Life dot3i
</t>
    </r>
    <r>
      <rPr>
        <b/>
        <i/>
        <sz val="10"/>
        <color rgb="FFFF00FF"/>
        <rFont val="Arial"/>
        <family val="2"/>
        <scheme val="minor"/>
      </rPr>
      <t>Cheapest GOOD ANC</t>
    </r>
  </si>
  <si>
    <r>
      <rPr>
        <sz val="10"/>
        <color rgb="FF1155CC"/>
        <rFont val="Arial"/>
        <family val="2"/>
        <scheme val="minor"/>
      </rPr>
      <t xml:space="preserve">Soundcore Space A40
</t>
    </r>
    <r>
      <rPr>
        <b/>
        <i/>
        <sz val="10"/>
        <color rgb="FFFF9900"/>
        <rFont val="Arial"/>
        <family val="2"/>
        <scheme val="minor"/>
      </rPr>
      <t>Turun Harga Shopee</t>
    </r>
  </si>
  <si>
    <r>
      <t xml:space="preserve">Moondrop Space Travel
</t>
    </r>
    <r>
      <rPr>
        <b/>
        <i/>
        <sz val="10"/>
        <color rgb="FF1155CC"/>
        <rFont val="Arial"/>
        <family val="2"/>
        <scheme val="minor"/>
      </rPr>
      <t>CLICK BUAT CASING</t>
    </r>
  </si>
  <si>
    <t xml:space="preserve">999000
</t>
  </si>
  <si>
    <t xml:space="preserve">2150000
</t>
  </si>
  <si>
    <t xml:space="preserve">513000
</t>
  </si>
  <si>
    <t xml:space="preserve">1750000
</t>
  </si>
  <si>
    <t xml:space="preserve">2229000
</t>
  </si>
  <si>
    <t xml:space="preserve">2900000
</t>
  </si>
  <si>
    <t xml:space="preserve">285000
</t>
  </si>
  <si>
    <t>879000
Link3</t>
  </si>
  <si>
    <t xml:space="preserve">899000
</t>
  </si>
  <si>
    <t xml:space="preserve">399000
</t>
  </si>
  <si>
    <t xml:space="preserve">595000
</t>
  </si>
  <si>
    <t xml:space="preserve">280000
</t>
  </si>
  <si>
    <t xml:space="preserve">685000
</t>
  </si>
  <si>
    <t xml:space="preserve">329000
</t>
  </si>
  <si>
    <t xml:space="preserve">268000
</t>
  </si>
  <si>
    <t xml:space="preserve">375000
</t>
  </si>
  <si>
    <t xml:space="preserve">339000
</t>
  </si>
  <si>
    <t xml:space="preserve">315000
</t>
  </si>
  <si>
    <r>
      <rPr>
        <sz val="10"/>
        <color rgb="FF1155CC"/>
        <rFont val="Arial"/>
        <family val="2"/>
        <scheme val="minor"/>
      </rPr>
      <t>S</t>
    </r>
    <r>
      <rPr>
        <sz val="10"/>
        <color rgb="FF000000"/>
        <rFont val="Arial"/>
        <family val="2"/>
        <scheme val="minor"/>
      </rPr>
      <t>++</t>
    </r>
  </si>
  <si>
    <r>
      <rPr>
        <sz val="10"/>
        <color rgb="FF1155CC"/>
        <rFont val="Arial"/>
        <family val="2"/>
        <scheme val="minor"/>
      </rPr>
      <t>A</t>
    </r>
    <r>
      <rPr>
        <sz val="10"/>
        <color rgb="FF000000"/>
        <rFont val="Arial"/>
        <family val="2"/>
        <scheme val="minor"/>
      </rPr>
      <t>-</t>
    </r>
  </si>
  <si>
    <r>
      <rPr>
        <sz val="10"/>
        <color rgb="FF1155CC"/>
        <rFont val="Arial"/>
        <family val="2"/>
        <scheme val="minor"/>
      </rPr>
      <t>C+</t>
    </r>
    <r>
      <rPr>
        <sz val="10"/>
        <color rgb="FF000000"/>
        <rFont val="Arial"/>
        <family val="2"/>
        <scheme val="minor"/>
      </rPr>
      <t>+</t>
    </r>
  </si>
  <si>
    <t>Tdnya gw remehin karena yg QCU too v shape even di EQ pun. ini default tuningnya timbrenya bagus. dan berasa megah. bassnyd alem juga. tapi surprisingly ada emphasize vokal yang bagus juga. gak sebright accentum pula. out of the box no EQ suaranya super bagus &amp; akan memuaskan kuping org yg non hobby hingga yg hobby skalipun. kekurangan blm apTX aja mgkin yg sensitif bgt ngrasa treble clarity nya kalo bisa lebih ada lagi. ANC BELUM ADA LAWAN MAAF BANGET NIH 2juta ANC nya lawan XM5 pun bisa kalah. mic agak kurg jg kalo d tempat rame
Full Review Youtube</t>
  </si>
  <si>
    <t>One of The Most Advanced ANC. sunyi natural, dan banyak customisasi yang bisa diterapkan. ada 2 chip  dan 3 feedaback mic dengan anti wind cover yang bagus banget memilih dan meredam suara. Sound better than xm4 dengan new DRIVER X more clarity and cleaner vocal + Wider soundstage and vibrating bass rumble. Better Mic than XM4 as well.
Battle TWS Review Youtube</t>
  </si>
  <si>
    <t>Susah ngalainnya gimana. aptx lossless, batre 52 jam, mic bagus, anc ok. auracast, budgetnya under sejuta. baru dari fitur aja sulit. suara juga oke kok. lebih aman treblenya dari air 2 dan air 3 yang agak kebanyakan dan pedes dikit. Freepro3 lebi warm dikit, timbre enak ini, imaging lebar fp3 dikit tipis overall tuning prefer ini mid nya better. fp3 anc, mic batre, codec, fitur kalah sama ini. ya butuh yg lengkap ya ini udah gada lawan under sejuta. Eartips bulet gak kotak/ada kunci kaya huawei sama L4nc. Full review di Youtube</t>
  </si>
  <si>
    <t>Wah ini versi KACANG nya earfun air pro 4. lebar, separasi bagus imaging bagus. dan yang paling bagusnyha sub bass extensionnnya deep dan fun banget. tapi gak basshead juga ya. kalah di baterai, timbre plasticky compared to air pro 4. semuanya lengkap gw bahas di VIDEO INI</t>
  </si>
  <si>
    <t>KING OF ANC. Terlalu kedap. terlalu hening. seperti nyemplung ke air. kalo suka Noise Cancellation ya ini dia jawabannya. suara b aja sih. bahkan prefer QCE V shape banget masi sama kaya gen 1. mic jauh lebih improve. . fit. enak walau agak geda keliatannya. harganya aja nih lumayun banget. choose ini kalo suka bass buanyak, mic bagus, dan ANC tidak ada lawan
Full Review Youtube</t>
  </si>
  <si>
    <t>Sebagai yg 500ribuan udh gabisa dipungkiri, gada lawan. worth every penny. Separasi, imaging agak dibawah dikit dari air pro 4. beda driver. fitur di atas air 2, karena ada ANC jg, game mode sama dengan air pro 4. Tuning agak brgiht 4k-8k tp bisa dibenerin dan bisa searah Space Travel 2. bisa cek Full review di Youtube</t>
  </si>
  <si>
    <t>bentuk kacang. buat olaraga. Driver bagus. EQ cakep. enak. detail banget untuk ukuran Single DD TWS. drivernya punya transient yg cukup cepet. jadi detail banyak kedengeran jelas. treblenya  masih agak maju menurut gw jadi gw cut. suara better dari L4NC.  4i menurutku masih lebih bagus. cm ini bentuk kacang jgn ragu. pikirin butuhnya aja
Full Review Youtube: TWS 100 ribu hingga 1 juta</t>
  </si>
  <si>
    <t>gak pelit codec kaya samsung wajib pake hp samsung ini LDAC universal. vs earfun fp3 kalah dr sisi imagingnya aja. klo ttuning masih sekelas. menang mic dan ANC.. ini jg ada low latency tp gatau brapal tuning u-shape searah Freebuds pro 3. mic mantep ANC lebih kedap dr 4nc pake mode cozy/general aja yg ultra ada hiss. slider volume ke atas bawah enak. nikmat. kalah batre aja paling dr L4nc. Agak bright. kalah sama air pro 4 and 4i in total
Full Review Youtube: TWS 100 ribu hingga 1 juta</t>
  </si>
  <si>
    <t>Ldac, Multipint connect. Batre 50jam. 3 AI mic. custom eq. suara ud ga tajem nusuk kaya Liberty 4 biasa. Adaptive ANC. Super deep silent ANC. Adjustable ANC. Superb Transparency with dual vocal/ambient mode. Suara masih cenderung ngebass. tapi treble dah gak nusuk kok.
Full Review Youtube: TWS 100 ribu hingga 1 juta</t>
  </si>
  <si>
    <t>Khas sony.. bassnya ruangnya.. teksture depth dan widhtnya agak beda dibanding sennheiser. resolusinya juga. gw prefer CX Plus. keduanya sama sama warm. tapi ini teknikalitas lebih kering. masih kurang berasa buntut reverb dan midrange detailnya. WF-C500 suaranya setara dengan ini. or even better.
Battle TWS Review Youtube</t>
  </si>
  <si>
    <r>
      <t xml:space="preserve">Good ANC. Good Mic, warm a little bit muddy tuning. Vocal centric. sweet vocal. Kekurangan. agak blurry separasinya. agak kurang koheren driver piezo dan dynamic nya. I'd still pick Air pro 4 for the sound. mic better di sini dikit
</t>
    </r>
    <r>
      <rPr>
        <sz val="10"/>
        <color rgb="FF1155CC"/>
        <rFont val="Arial"/>
        <family val="2"/>
        <scheme val="minor"/>
      </rPr>
      <t>Review FULL Youtube</t>
    </r>
  </si>
  <si>
    <t>Good Tuning, arah2 neutral mid vocal centric. sub bass ga banyak. separasi imaging agak lbh bgs air 2 dikit. ini better timbre. better tuning and mids. mic bagus, ad anc transparency. ok aj g amazing. volume lbh kenceng. custom paramteric EQ is nice.
GAK USAH YANG ULTRA. bright di 4-5k sibilance. mahal. timbre planarnya aneh. ga nambah stage &amp; imaging jg. bright di 8k jg. udah coba di EQ ga bisa senatural dan organic yg non ultra
Review Full Youtube</t>
  </si>
  <si>
    <r>
      <t xml:space="preserve">Tuning yang sangat ngebass. improve di ANC aja dari 4 NC. Sisanya masih kurang lebih gak beda jauh. dan tonalnya prefer di 4 NC. If you still have 4 NC. keep it
</t>
    </r>
    <r>
      <rPr>
        <sz val="10"/>
        <color rgb="FF1155CC"/>
        <rFont val="Arial"/>
        <family val="2"/>
        <scheme val="minor"/>
      </rPr>
      <t>Review Ful Youtube</t>
    </r>
  </si>
  <si>
    <t>Sekelas dengan Engine 4 suaranya. prefer treble Engine 4 sedikitl. tp ini mid to low nya bagus. sekelas 22nya gak akan ada yang nyesel suaranya. cuma mic better ini banget 4 Noise cancelling mic. Mode gaming juga 55ms. multipoint connect. cuma sama kaya engine 4, gada ANC. ini bentuk tangkai
Full Review Youtube: TWS 100 ribu hingga 1 juta</t>
  </si>
  <si>
    <t>Bagus suaranya bagus dan bisa Di EQ mantep timbre &amp; stagenya bagus dibanding soundpeats mini or even capsule 3 pro. kekurangannya ya gak ada ANC. gitu aja. tapi kalo kurang ya boost lagi aja. midnya clean cakep. Powernya dia d suara. udh kalah sama earfun 4i
Full Review Youtube: TWS 100 ribu hingga 1 juta</t>
  </si>
  <si>
    <t>NEW BEST TWS By Soundcore. Sweetspot harganya under L4NC. upgradenya dot3i!. better Mic, Superb ANC + Transparency. suara cenderyung lebih ke V Shape tapi bisa di EQ. dan upper midsnya enak transparan drivernya bagus. 11mm kaya L4NC. ada Mode gaming juga
Full Review Youtube: TWS 100 ribu hingga 1 juta</t>
  </si>
  <si>
    <t>Warm kurang lebih sama dengan C500. ANC is good natural gak tenggelem but not as good as Linkbuds S Level sayangnya. cukup natural but gak sekedap Linkbuds. suara warm aman aja. codec AAC. gak kaya TWS 1juta lainnya yg ud APTX/LDAC. But ga jelek jg AAC nya. banyak saingannya seperti Edifier/Soundcore L4NC sulit deh kalo dari segi value kalah banyak. tapi kalo kualitas durability mungkin Sony aman aja. tonality bisa oke aman. warm ngebass. bisa di EQ. teknikalitas soundstage separasi, agak sulit saingi Earfun FP3. But ANC and Mic is still one of the best di harganya
Battle TWS Review Youtube</t>
  </si>
  <si>
    <t>Okelah. JBL yg cukup ok. gak overpriced. tapi gak murahan juga. Balance. mid to high nya melebar di sisi kiri kanan agak depan. sedangkan low/bassnya ada di tengah di belakang kepala. bikin imaging nya cakep. again brand gede kalo bikin produk murmer, pasti ada yang dinerf, Salasatunya ANC. Ini gak ada ANC  tapi ada transparency. udah itu aja. sisanya aman banget kok. SQ dll. 
Full Review Youtube: TWS 100 ribu hingga 1 juta</t>
  </si>
  <si>
    <t>KING OF MIC 200RIBU Driver jernih lebih bright dr clear. clear lebih smooth high nya. warm and smooth, lush. ini lebih agresive. bass rumble juga lebih lebar dan punchy tp gak sebutek dan boomy R50i NC. ANC ada, tipis skelas r50i NC. EQ bisa share by user. nanti gw bikin. suara sih sekelas sama clear. tinggal preferensi. tp gw yakin bakal banyak kaum bajet yg lbh suka ini karena clear terasa lebih neutral and smooth. ini lebih bright dan fun gebukannya.
Full review di Youtube</t>
  </si>
  <si>
    <t>Cocok buat yg suka bentuk kacang dan suka ada ANC. ANC nya pun sangat bersaign dengan QCY. bagus kok. Transparency masih ada white noise kecil. suaranya lumayan bright di 8-10khz cocoknya buat yg suka low volume aja dengerinnya. Gw kurang suka Tonalnya tp drivernya gak butek, definitely ok. 
Review di sini</t>
  </si>
  <si>
    <r>
      <t xml:space="preserve">Driver not bad. tuning default pasti awam bisa suka. tp custom EQ nya ngeboongin. kaya ga ada custom EQ.. jadi ancur berantakan. Mic not bad. ANC bikin pusing. not bad tp reviewnya banyak misleading. </t>
    </r>
    <r>
      <rPr>
        <sz val="10"/>
        <color rgb="FF1155CC"/>
        <rFont val="Arial"/>
        <family val="2"/>
        <scheme val="minor"/>
      </rPr>
      <t>Review jujur lengkap ada di sini</t>
    </r>
  </si>
  <si>
    <r>
      <t xml:space="preserve">Sulit posisinya jika dicompare Consumer TWS lain. &amp;harganya juga kurang
</t>
    </r>
    <r>
      <rPr>
        <sz val="10"/>
        <color rgb="FF1155CC"/>
        <rFont val="Arial"/>
        <family val="2"/>
        <scheme val="minor"/>
      </rPr>
      <t>FULL REVIEW YOUTUBE CLICK HERE</t>
    </r>
  </si>
  <si>
    <t>Kekurangan utama = baterai. tuningan mah enak. teknikalitas kurang becek dikit detail/soundstage. treble extensionnya juga agak kurang. sisanya aman sih bagus2 aja. game mode 55ms dharga murah bgt. suara gausah custom EQ udah cakep. Mic b ajah. sama gak ada tutup
Full Review Youtube: TWS 100 ribu hingga 1 juta</t>
  </si>
  <si>
    <r>
      <t xml:space="preserve">Kenapa si masih SBC duh edifier paling enggak AAC dongs please.. Custom EQ nya juga belum 10 band EQ. kalah sama Tozo dan Earfun. 
</t>
    </r>
    <r>
      <rPr>
        <b/>
        <i/>
        <sz val="10"/>
        <color rgb="FF1155CC"/>
        <rFont val="Arial"/>
        <family val="2"/>
        <scheme val="minor"/>
      </rPr>
      <t>REVIEW FULL DI SINI</t>
    </r>
  </si>
  <si>
    <t>Buds FE di repackage aja. lebih baru. garansi lebih baru. batre lebi baru. Biasa aja. kurang lebih sama dengan buds fe. muddy di bass. warm vocal. tapi agak bright lagi di 10k nya. anc dan fit oke bagus. maybe sala satu yang terkedap di under sejuta. mic agak biasa banget even compared to moondrop/earfun. kalo mau kacang suara bagus, masih free pro 3 buat under 1 juta
FULL REVIEW DI SINI</t>
  </si>
  <si>
    <t>warm. lebar di bagian bass dan low mid.  driver butek. tp ga sebutek t3. gak yg stunning banget. lebar d bass. 22eq preset yg kepake cuma Piano, Bass reducer, dan Treble Booster. mic bagus. tapi mic better nakamichi tw018s
Full Review Youtube: TWS 100 ribu hingga 1 juta</t>
  </si>
  <si>
    <t>Mendem. anc ga berasa. jelasin driver mendem tuh kaya monitor LED panelnya jelek or camera sensor ga bagus. lu mau nayangin apa di situ lu naekin sharpness/contrast dll ga akan jadi bagus. ya kae gitulah driver butek mau di custom EQ gimana juga ga ketolong. nabung aja ke Clear elah
Full Review Youtube: TWS 100 ribu hingga 1 juta</t>
  </si>
  <si>
    <t xml:space="preserve">Best Price for all features you need! Open sounding soundstage di luar kepala hebat sekali! ala2 openback. 1 DD +.1 Planar. balance tuning, cutom EQ. ANC Kedap, and nyaman. King of transparency super jelas kaya ga pakai TWS ANC Comfort masih belum Sony level but pas aj. Micnya edan clear bangets. Minus, controlnya agak sulit buat slide2 volume, codecnya dinerf, kaya cuma bagus kalo pake SSC Samsung, but not at all actually AAC nya pun gw coba d hp gw aman. enak2 aja drivernya. Ultra HQ sound is not that important if the driver is good then the sound is good.  Minus lainnya palingan eartips agak kotak sulit dicari. 
</t>
  </si>
  <si>
    <r>
      <t xml:space="preserve">Yes
9 band
Fixed Frequency
</t>
    </r>
    <r>
      <rPr>
        <sz val="10"/>
        <color rgb="FF1155CC"/>
        <rFont val="Arial"/>
        <family val="2"/>
        <scheme val="minor"/>
      </rPr>
      <t>Normal EQ</t>
    </r>
    <r>
      <rPr>
        <sz val="10"/>
        <color rgb="FF000000"/>
        <rFont val="Arial"/>
        <family val="2"/>
        <scheme val="minor"/>
      </rPr>
      <t xml:space="preserve">
</t>
    </r>
    <r>
      <rPr>
        <sz val="10"/>
        <color rgb="FF1155CC"/>
        <rFont val="Arial"/>
        <family val="2"/>
        <scheme val="minor"/>
      </rPr>
      <t>ANC EQ</t>
    </r>
  </si>
  <si>
    <r>
      <t xml:space="preserve">Yes
5 Band 
Fixed Frequency
+ Bass Boost
</t>
    </r>
    <r>
      <rPr>
        <sz val="10"/>
        <color rgb="FF1155CC"/>
        <rFont val="Arial"/>
        <family val="2"/>
        <scheme val="minor"/>
      </rPr>
      <t>MY EQ Click Here</t>
    </r>
  </si>
  <si>
    <r>
      <t xml:space="preserve">Yes
6 Band
Fixed Frequency
</t>
    </r>
    <r>
      <rPr>
        <sz val="10"/>
        <color rgb="FF1155CC"/>
        <rFont val="Arial"/>
        <family val="2"/>
        <scheme val="minor"/>
      </rPr>
      <t>My EQ Click Here</t>
    </r>
  </si>
  <si>
    <r>
      <rPr>
        <sz val="10"/>
        <color rgb="FF1155CC"/>
        <rFont val="Arial"/>
        <family val="2"/>
        <scheme val="minor"/>
      </rPr>
      <t>Fusion G</t>
    </r>
    <r>
      <rPr>
        <sz val="10"/>
        <color rgb="FF000000"/>
        <rFont val="Arial"/>
        <family val="2"/>
        <scheme val="minor"/>
      </rPr>
      <t xml:space="preserve">
</t>
    </r>
    <r>
      <rPr>
        <sz val="10"/>
        <color rgb="FF1155CC"/>
        <rFont val="Arial"/>
        <family val="2"/>
        <scheme val="minor"/>
      </rPr>
      <t>Dekoni Foam TWS Bulletz</t>
    </r>
    <r>
      <rPr>
        <sz val="10"/>
        <color rgb="FF000000"/>
        <rFont val="Arial"/>
        <family val="2"/>
        <scheme val="minor"/>
      </rPr>
      <t xml:space="preserve">
</t>
    </r>
    <r>
      <rPr>
        <sz val="10"/>
        <color rgb="FF1155CC"/>
        <rFont val="Arial"/>
        <family val="2"/>
        <scheme val="minor"/>
      </rPr>
      <t xml:space="preserve">JVC Spiral Dot ++ 
</t>
    </r>
  </si>
  <si>
    <r>
      <t>YES
Parametric
Custom Width, freq 
Q factor, Gain)</t>
    </r>
    <r>
      <rPr>
        <sz val="10"/>
        <color rgb="FF000000"/>
        <rFont val="Arial"/>
        <family val="2"/>
        <scheme val="minor"/>
      </rPr>
      <t xml:space="preserve">
</t>
    </r>
    <r>
      <rPr>
        <sz val="10"/>
        <color rgb="FF1155CC"/>
        <rFont val="Arial"/>
        <family val="2"/>
        <scheme val="minor"/>
      </rPr>
      <t>My EQ Click Here</t>
    </r>
  </si>
  <si>
    <r>
      <t xml:space="preserve">YES
10 Band Graphic
</t>
    </r>
    <r>
      <rPr>
        <sz val="10"/>
        <color rgb="FF1155CC"/>
        <rFont val="Arial"/>
        <family val="2"/>
        <scheme val="minor"/>
      </rPr>
      <t>EQ di video ini. Skip2 aja</t>
    </r>
  </si>
  <si>
    <r>
      <t xml:space="preserve">Yes
10 Band EQ
</t>
    </r>
    <r>
      <rPr>
        <sz val="10"/>
        <color rgb="FF1155CC"/>
        <rFont val="Arial"/>
        <family val="2"/>
        <scheme val="minor"/>
      </rPr>
      <t>EQ Di sini</t>
    </r>
  </si>
  <si>
    <r>
      <t xml:space="preserve">YES
10 Band Graphic
</t>
    </r>
    <r>
      <rPr>
        <sz val="10"/>
        <color rgb="FF1155CC"/>
        <rFont val="Arial"/>
        <family val="2"/>
        <scheme val="minor"/>
      </rPr>
      <t>EQ Balance
EQ Neutral ish</t>
    </r>
  </si>
  <si>
    <r>
      <t xml:space="preserve">YES
8 Band
Fixed Frequency
</t>
    </r>
    <r>
      <rPr>
        <sz val="10"/>
        <color rgb="FF1155CC"/>
        <rFont val="Arial"/>
        <family val="2"/>
        <scheme val="minor"/>
      </rPr>
      <t>My EQ Click here</t>
    </r>
  </si>
  <si>
    <r>
      <t xml:space="preserve">YES
6 band 
Fixed Frequency
</t>
    </r>
    <r>
      <rPr>
        <sz val="10"/>
        <color rgb="FF1155CC"/>
        <rFont val="Arial"/>
        <family val="2"/>
        <scheme val="minor"/>
      </rPr>
      <t>MY EQ Click Here</t>
    </r>
  </si>
  <si>
    <r>
      <t>YES
6 band 
Fixed Frequency</t>
    </r>
    <r>
      <rPr>
        <sz val="10"/>
        <color rgb="FF000000"/>
        <rFont val="Arial"/>
        <family val="2"/>
        <scheme val="minor"/>
      </rPr>
      <t xml:space="preserve">
</t>
    </r>
    <r>
      <rPr>
        <sz val="10"/>
        <color rgb="FF1155CC"/>
        <rFont val="Arial"/>
        <family val="2"/>
        <scheme val="minor"/>
      </rPr>
      <t>My EQ Click Here
EQ Ortofon</t>
    </r>
  </si>
  <si>
    <r>
      <rPr>
        <sz val="10"/>
        <color rgb="FF1155CC"/>
        <rFont val="Arial"/>
        <family val="2"/>
        <scheme val="minor"/>
      </rPr>
      <t>Dekoni Foam TWS Bulletz</t>
    </r>
    <r>
      <rPr>
        <sz val="10"/>
        <color rgb="FF000000"/>
        <rFont val="Arial"/>
        <family val="2"/>
        <scheme val="minor"/>
      </rPr>
      <t xml:space="preserve">
</t>
    </r>
    <r>
      <rPr>
        <sz val="10"/>
        <color rgb="FF1155CC"/>
        <rFont val="Arial"/>
        <family val="2"/>
        <scheme val="minor"/>
      </rPr>
      <t xml:space="preserve">JVC Spiral Dot ++ 
Ortofon
</t>
    </r>
  </si>
  <si>
    <r>
      <t xml:space="preserve">YES
10 Band
Fixed Frequency
</t>
    </r>
    <r>
      <rPr>
        <sz val="10"/>
        <color rgb="FF1155CC"/>
        <rFont val="Arial"/>
        <family val="2"/>
        <scheme val="minor"/>
      </rPr>
      <t>My EQ Here</t>
    </r>
  </si>
  <si>
    <r>
      <t xml:space="preserve">YES
5 Band Paramteric 
</t>
    </r>
    <r>
      <rPr>
        <sz val="10"/>
        <color rgb="FF1155CC"/>
        <rFont val="Arial"/>
        <family val="2"/>
        <scheme val="minor"/>
      </rPr>
      <t>My EQ Here</t>
    </r>
  </si>
  <si>
    <r>
      <t xml:space="preserve">YES
8 Band
Fixed Frequency
</t>
    </r>
    <r>
      <rPr>
        <sz val="10"/>
        <color rgb="FF1155CC"/>
        <rFont val="Arial"/>
        <family val="2"/>
        <scheme val="minor"/>
      </rPr>
      <t>My EQ Click Here</t>
    </r>
  </si>
  <si>
    <r>
      <t xml:space="preserve">YES
9 band
Fixed Frequency
</t>
    </r>
    <r>
      <rPr>
        <sz val="10"/>
        <color rgb="FF1155CC"/>
        <rFont val="Arial"/>
        <family val="2"/>
        <scheme val="minor"/>
      </rPr>
      <t>My EQ Click Here</t>
    </r>
  </si>
  <si>
    <r>
      <t xml:space="preserve">YES
7 Band
Fixed Frequency
</t>
    </r>
    <r>
      <rPr>
        <sz val="10"/>
        <color rgb="FF1155CC"/>
        <rFont val="Arial"/>
        <family val="2"/>
        <scheme val="minor"/>
      </rPr>
      <t>My EQ Click here</t>
    </r>
  </si>
  <si>
    <r>
      <t xml:space="preserve">YES
7 Band
Fixed Frequency
</t>
    </r>
    <r>
      <rPr>
        <sz val="10"/>
        <color rgb="FF1155CC"/>
        <rFont val="Arial"/>
        <family val="2"/>
        <scheme val="minor"/>
      </rPr>
      <t>EQ Sancai
EQ Sednaearfit</t>
    </r>
  </si>
  <si>
    <r>
      <t xml:space="preserve">YES
8 Band
Fixed Frequency
</t>
    </r>
    <r>
      <rPr>
        <u/>
        <sz val="10"/>
        <color rgb="FF1155CC"/>
        <rFont val="Arial"/>
        <family val="2"/>
        <scheme val="minor"/>
      </rPr>
      <t>My EQ Click Here</t>
    </r>
  </si>
  <si>
    <r>
      <t xml:space="preserve">YES
7 Band
Fixed Frequency
</t>
    </r>
    <r>
      <rPr>
        <sz val="10"/>
        <color rgb="FF1155CC"/>
        <rFont val="Arial"/>
        <family val="2"/>
        <scheme val="minor"/>
      </rPr>
      <t>My EQ click here</t>
    </r>
  </si>
  <si>
    <r>
      <rPr>
        <sz val="10"/>
        <color rgb="FF000000"/>
        <rFont val="Arial"/>
        <family val="2"/>
        <scheme val="minor"/>
      </rPr>
      <t xml:space="preserve">Azla Sedna Earfit Short
</t>
    </r>
    <r>
      <rPr>
        <sz val="10"/>
        <color rgb="FF000000"/>
        <rFont val="Arial"/>
        <family val="2"/>
        <scheme val="minor"/>
      </rPr>
      <t xml:space="preserve">Acoustune AEX70
</t>
    </r>
  </si>
  <si>
    <r>
      <t xml:space="preserve">YES
8 Band
Fixed Frequency
</t>
    </r>
    <r>
      <rPr>
        <sz val="10"/>
        <color rgb="FF1155CC"/>
        <rFont val="Arial"/>
        <family val="2"/>
        <scheme val="minor"/>
      </rPr>
      <t xml:space="preserve">My EQ Click here </t>
    </r>
  </si>
  <si>
    <r>
      <t xml:space="preserve">YES
10 Graphic EQ
</t>
    </r>
    <r>
      <rPr>
        <sz val="10"/>
        <color rgb="FF1155CC"/>
        <rFont val="Arial"/>
        <family val="2"/>
        <scheme val="minor"/>
      </rPr>
      <t>My EQ Here</t>
    </r>
  </si>
  <si>
    <r>
      <t xml:space="preserve">YES
7 band EQ dan LDX technology
</t>
    </r>
    <r>
      <rPr>
        <sz val="10"/>
        <color rgb="FF1155CC"/>
        <rFont val="Arial"/>
        <family val="2"/>
        <scheme val="minor"/>
      </rPr>
      <t>My EQ Click Here</t>
    </r>
  </si>
  <si>
    <r>
      <t xml:space="preserve">YES
6 band 
Fixed Frequency
</t>
    </r>
    <r>
      <rPr>
        <sz val="10"/>
        <color rgb="FF1155CC"/>
        <rFont val="Arial"/>
        <family val="2"/>
        <scheme val="minor"/>
      </rPr>
      <t>My EQ Click Here</t>
    </r>
  </si>
  <si>
    <r>
      <t xml:space="preserve">YES
6 Band
Fixed Frequency
</t>
    </r>
    <r>
      <rPr>
        <sz val="10"/>
        <color rgb="FF1155CC"/>
        <rFont val="Arial"/>
        <family val="2"/>
        <scheme val="minor"/>
      </rPr>
      <t>My EQ Click Here</t>
    </r>
  </si>
  <si>
    <r>
      <t xml:space="preserve">YES
5 band 
Fixed Frequency
</t>
    </r>
    <r>
      <rPr>
        <sz val="10"/>
        <color rgb="FF1155CC"/>
        <rFont val="Arial"/>
        <family val="2"/>
        <scheme val="minor"/>
      </rPr>
      <t>MY EQ Click Here</t>
    </r>
  </si>
  <si>
    <r>
      <t xml:space="preserve">YES
6 band 
Fixed Frequency
</t>
    </r>
    <r>
      <rPr>
        <sz val="10"/>
        <color rgb="FF1155CC"/>
        <rFont val="Arial"/>
        <family val="2"/>
        <scheme val="minor"/>
      </rPr>
      <t>My EQ Click Here</t>
    </r>
    <r>
      <rPr>
        <sz val="10"/>
        <color rgb="FF000000"/>
        <rFont val="Arial"/>
        <family val="2"/>
        <scheme val="minor"/>
      </rPr>
      <t>e</t>
    </r>
  </si>
  <si>
    <r>
      <t xml:space="preserve">YES
10 Band Frequency
</t>
    </r>
    <r>
      <rPr>
        <sz val="10"/>
        <color rgb="FF1155CC"/>
        <rFont val="Arial"/>
        <family val="2"/>
        <scheme val="minor"/>
      </rPr>
      <t>My EQ Click Here</t>
    </r>
  </si>
  <si>
    <t>Good driver. lebar luas. default tuning agak piercing dan sibillant di highnya. width imaging bagus. dan ANC nya yang paling kedap dari yg pernah gw coba (ttp lbh kedap tws karet yak tp) cuma sakit lama2 pusing pengang. minus ga ada app buat android user, or mac user. hanya ada di iPad/iPhone. No custom EQ. 
Review Youtube</t>
  </si>
  <si>
    <t>God tier driver buat tws tanpa karet sih. dispersi sebaran bassnha lebar. rumblenya cakep. resolusinya lebih full dari k20i, block dll. ga mesti masukin telinga banget ud ok. Harman Tuning &amp; Custom EQ. ANC ada ngaruh yg adaptive sesuaikan bentuk telinga tp ttp gak akan sekedap tws dengan eartips. mic bagus. custom button ok banget ini cuma bajetnya yaampun 
Review Youtube</t>
  </si>
  <si>
    <r>
      <t xml:space="preserve">YES
8 Band EQ
</t>
    </r>
    <r>
      <rPr>
        <sz val="10"/>
        <color rgb="FF1155CC"/>
        <rFont val="Arial"/>
        <family val="2"/>
        <scheme val="minor"/>
      </rPr>
      <t>My EQ Click Here</t>
    </r>
  </si>
  <si>
    <t>shouty upper mids. timbre plastiki benyek di uppermids. ada kaya preset buat nyesuaikan suara dengan ear shape lu. yang no 2, lebih cocok d gw terus bisa gw custom EQ lagi tapi di appnya eq nya kagak cukup buat ngotak ngatik frekuensi yg perlu diubah. dan harganya sangat nangggguuungg lu bisa dapetin Xiaomi yg lebih bagus value nya menurut w.
Full Review Youtube: TWS 100 ribu hingga 1 juta</t>
  </si>
  <si>
    <r>
      <t xml:space="preserve">YES
8 Band
</t>
    </r>
    <r>
      <rPr>
        <sz val="10"/>
        <color rgb="FF1155CC"/>
        <rFont val="Arial"/>
        <family val="2"/>
        <scheme val="minor"/>
      </rPr>
      <t>My EQ Click Here</t>
    </r>
  </si>
  <si>
    <t>Lebih ada bassnya dari k20i. lebih mudah gw tuning. oke banget. ngebass, rumble oke. fitnya juga ga gampang begeeser. imaging &amp; Soundstage masih biasa banget.
: TWS 100 ribu hingga 1 juta</t>
  </si>
  <si>
    <t xml:space="preserve">736000
</t>
  </si>
  <si>
    <t xml:space="preserve">163000
</t>
  </si>
  <si>
    <t xml:space="preserve">489000
</t>
  </si>
  <si>
    <t xml:space="preserve">999,000
</t>
  </si>
  <si>
    <t xml:space="preserve">465000
</t>
  </si>
  <si>
    <t xml:space="preserve">199000
</t>
  </si>
  <si>
    <t xml:space="preserve">179000
</t>
  </si>
  <si>
    <t xml:space="preserve">2500000
</t>
  </si>
  <si>
    <t xml:space="preserve">Sangat bagus. better than shokz. ada bassnya berasa. batre juga awet banget. value for money tinggi. cuma sejuta tapi beneran bagus untuk ukuran OWS
</t>
  </si>
  <si>
    <t xml:space="preserve">KING OF OWS MIC 1 Piezo, 1 DD, 2 BA anjae udah kaya IEM. tapi suara tetep OWS yee. less sub bass. bass agak lebih rendah lagi dari aerofit. tapi highnya crling, sparkling, shimmering jernih. kurang body di low mid to sub. masih beetter aerofit 2 kalo bass utamanya di outdoor. kalo indoor masih bisa lah. 
</t>
  </si>
  <si>
    <t xml:space="preserve">gak akan sama dengan Aerofit 2. beda jauh soundstage. clarity detail. resolusi. tapi buat sekedar secondary OWS buat running/sepedaan ya masi ok. prefer ini dari Gofree
</t>
  </si>
  <si>
    <t xml:space="preserve">
Ini sony teringan, ternyaman. compare to bose, dan accentum ini fitting paling enak parah. ANC bagus tp lolos dikit d treble. driver sama dengan xm5, anc pun sama teknologinya cma beda di fitting ama tips. jadi agak beda tuning dikit tp resolusi clarity staging sama lah bagus banget. mic better dari XM5. NR nya gak nyala idup nyala idup. fitur2 lengkap banget ampe pusing dah saking lengkapnya</t>
  </si>
  <si>
    <t xml:space="preserve">
Udah searah kaya Sennheiser Momentum 4. with better mic dikit. beda suaranya cuma di punch aja. kurang segebuk momentum. itu that's it paling utamanya. sisanya imaging sama soundstage udah hampir mirip lah beda separasi dan detail dikit bgt. with better fittting. just buy this. very affordable. Good ANC pula serasa level Linkbuds s. GARANSI 2 TAHUN</t>
  </si>
  <si>
    <t xml:space="preserve">
Tonalnya agak warm di high, agak gemuk di bass. jadi kesannnya warm dan ngebass. kurang upper mids or lower treble dikit. bisa di EQ sih gw udah bikinin. imaging juga lebih cakep dr C700. SQ masih suka Air Pro 4, lebih lebar, luas, dan clean. tp ini ga jelek juga. kalo suka bentuk kacang. mic bagus. ANC is okay belum level xm5. but for the price. ok lah. kebantu isolasinya. transparencnya cakep walau ada white noise dikit kalo sepi</t>
  </si>
  <si>
    <t xml:space="preserve">
Punch nya better dr 500. drivernya beda tonalnya bagus. cuma soundstage dan imaging belum se luas Air Pro 4. mic proper banget. noise reduction gak banyak. tapi kenceng micnya tembus hijab
Full Review Youtube: TWS 100 ribu hingga 1 juta</t>
  </si>
  <si>
    <t xml:space="preserve">
Batre 40 jam dengan fitur Custom EQ ga main2. bisa hajar bass dari 125 hertz ke 30 hertz ke bawah. alhasil gak akan se BOOMY EGGEL MAUPUN SOUNDCORE R50i dan A20i. Bisa naekin volume lagi di TWS walau d hp udah max. mode gaming. app support</t>
  </si>
  <si>
    <t xml:space="preserve">
Udah bagus. bisa EQ custom control. cuma drivernya entah kenapa lebih open terang jelas di SP Clear. ini ga jelek karena harganya pun lebih murah dari clear. 229 saja. Mic juga not bad. this is earfun's first attempt to conquer 200k bajet. and not bad.</t>
  </si>
  <si>
    <t xml:space="preserve">
Fiturnya lebih lngkap dari r50i biasa. ada NC yang benran gak gimik, cuma masi sangat tipis, gw sranin banget dot3i. suara improve dari dot3i. tapi kalo soal suara dari teknikalitas dan tunig prefer Soundpeats Clear. Mic ok 4ai mic, batre upgrade dan bisa jadi stand HP. itu unik, Ambil ini jika kalian ga terlalu butuh suara bagus dan suka ngebass bgt, dan pgn cobain ANC.
Full Review Youtube: TWS 100 ribu hingga 1 juta</t>
  </si>
  <si>
    <t xml:space="preserve"> d sini buat yg ga suka karet eartips, ini udah cukup ngebass dan mid to treblenya jelas. udh custom EQ, mode low latency for gaming, control bisa diotak atik. cakep dah udah dan harganya cuma 100ribuan. ngalain soundpeats air 4 lite banget valuenya asli soundcore banting harga.
Full Review Youtube: TWS 100 ribu hingga 1 juta</t>
  </si>
  <si>
    <t xml:space="preserve">
Paling oke. berasa bassnya untuk ukuran open. fittingnya gak ada gondal gandulan belakang telinga ga pake kalung. driver bolong. hebat sony. dan lebihb agus dari seri linkbuds yang awal juga fitting dan suaranya. cakep banget. sangat unique belum ada yang kaya begini. sayang harga mahal harganya. kekurangan utama. treblenya belum sedetail aerofit. malah aerofit bagus banget udh LDAC. ini belum.</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</si>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</sst>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sz val="10"/>
      <color theme="1"/>
      <name val="Arial"/>
    </font>
    <font>
      <b/>
      <i/>
      <sz val="10"/>
      <color theme="1"/>
      <name val="Arial"/>
    </font>
    <font>
      <b/>
      <sz val="9"/>
      <color theme="1"/>
      <name val="Arial"/>
      <scheme val="minor"/>
    </font>
    <font>
      <b/>
      <sz val="10"/>
      <color theme="1"/>
      <name val="Arial"/>
      <scheme val="minor"/>
    </font>
    <font>
      <sz val="10"/>
      <color theme="1"/>
      <name val="Arial"/>
      <scheme val="minor"/>
    </font>
    <font>
      <u/>
      <sz val="10"/>
      <color rgb="FF1155CC"/>
      <name val="Arial"/>
      <scheme val="minor"/>
    </font>
    <font>
      <u/>
      <sz val="10"/>
      <color rgb="FF1155CC"/>
      <name val="Arial"/>
      <scheme val="minor"/>
    </font>
    <font>
      <sz val="10"/>
      <color rgb="FF000000"/>
      <name val="Arial"/>
    </font>
    <font>
      <u/>
      <sz val="10"/>
      <color rgb="FF1155CC"/>
      <name val="Arial"/>
      <scheme val="minor"/>
    </font>
    <font>
      <sz val="10"/>
      <color rgb="FF000000"/>
      <name val="Arial"/>
      <scheme val="minor"/>
    </font>
    <font>
      <u/>
      <sz val="10"/>
      <color rgb="FF1155CC"/>
      <name val="Arial"/>
      <scheme val="minor"/>
    </font>
    <font>
      <u/>
      <sz val="10"/>
      <color rgb="FF1155CC"/>
      <name val="Arial"/>
      <scheme val="minor"/>
    </font>
    <font>
      <u/>
      <sz val="10"/>
      <color rgb="FF1155CC"/>
      <name val="Arial"/>
    </font>
    <font>
      <u/>
      <sz val="10"/>
      <color rgb="FF1155CC"/>
      <name val="Arial"/>
      <scheme val="minor"/>
    </font>
    <font>
      <u/>
      <sz val="10"/>
      <color rgb="FF1155CC"/>
      <name val="Arial"/>
      <scheme val="minor"/>
    </font>
    <font>
      <u/>
      <sz val="10"/>
      <color rgb="FF1155CC"/>
      <name val="Arial"/>
      <scheme val="minor"/>
    </font>
    <font>
      <b/>
      <sz val="10"/>
      <color theme="1"/>
      <name val="Arial"/>
    </font>
    <font>
      <i/>
      <sz val="10"/>
      <color rgb="FFFF00FF"/>
      <name val="Arial"/>
    </font>
    <font>
      <i/>
      <sz val="9"/>
      <color rgb="FFFF00FF"/>
      <name val="Arial"/>
    </font>
    <font>
      <b/>
      <i/>
      <sz val="10"/>
      <color rgb="FFFF0000"/>
      <name val="Arial"/>
    </font>
    <font>
      <b/>
      <i/>
      <sz val="10"/>
      <color rgb="FFFF00FF"/>
      <name val="Arial"/>
    </font>
    <font>
      <sz val="10"/>
      <color rgb="FF000000"/>
      <name val="Arial"/>
      <family val="2"/>
      <scheme val="minor"/>
    </font>
    <font>
      <sz val="10"/>
      <color rgb="FF1155CC"/>
      <name val="Arial"/>
      <family val="2"/>
      <scheme val="minor"/>
    </font>
    <font>
      <b/>
      <i/>
      <sz val="10"/>
      <color rgb="FFFF00FF"/>
      <name val="Arial"/>
      <family val="2"/>
      <scheme val="minor"/>
    </font>
    <font>
      <b/>
      <i/>
      <sz val="10"/>
      <color rgb="FFFF9900"/>
      <name val="Arial"/>
      <family val="2"/>
      <scheme val="minor"/>
    </font>
    <font>
      <b/>
      <i/>
      <sz val="10"/>
      <color rgb="FF1155CC"/>
      <name val="Arial"/>
      <family val="2"/>
      <scheme val="minor"/>
    </font>
    <font>
      <u/>
      <sz val="10"/>
      <color rgb="FF1155CC"/>
      <name val="Arial"/>
      <family val="2"/>
      <scheme val="minor"/>
    </font>
    <font>
      <b/>
      <sz val="10"/>
      <color theme="1"/>
      <name val="Arial"/>
      <family val="2"/>
      <scheme val="minor"/>
    </font>
  </fonts>
  <fills count="10">
    <fill>
      <patternFill patternType="none"/>
    </fill>
    <fill>
      <patternFill patternType="gray125"/>
    </fill>
    <fill>
      <patternFill patternType="solid">
        <fgColor rgb="FFFFF2CC"/>
        <bgColor rgb="FFFFF2CC"/>
      </patternFill>
    </fill>
    <fill>
      <patternFill patternType="solid">
        <fgColor rgb="FF31FCA3"/>
        <bgColor rgb="FF31FCA3"/>
      </patternFill>
    </fill>
    <fill>
      <patternFill patternType="solid">
        <fgColor rgb="FFF9CB9C"/>
        <bgColor rgb="FFF9CB9C"/>
      </patternFill>
    </fill>
    <fill>
      <patternFill patternType="solid">
        <fgColor rgb="FFB6D7A8"/>
        <bgColor rgb="FFB6D7A8"/>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EA9999"/>
        <bgColor rgb="FFEA9999"/>
      </patternFill>
    </fill>
  </fills>
  <borders count="1">
    <border>
      <left/>
      <right/>
      <top/>
      <bottom/>
      <diagonal/>
    </border>
  </borders>
  <cellStyleXfs count="1">
    <xf numFmtId="0" fontId="0" fillId="0" borderId="0"/>
  </cellStyleXfs>
  <cellXfs count="78">
    <xf numFmtId="0" fontId="0" fillId="0" borderId="0" xfId="0"/>
    <xf numFmtId="0" fontId="3" fillId="3" borderId="0" xfId="0" applyFont="1" applyFill="1" applyAlignment="1">
      <alignment vertical="center"/>
    </xf>
    <xf numFmtId="0" fontId="3" fillId="3" borderId="0" xfId="0" applyFont="1" applyFill="1"/>
    <xf numFmtId="0" fontId="4" fillId="3" borderId="0" xfId="0" applyFont="1" applyFill="1"/>
    <xf numFmtId="0" fontId="4" fillId="3" borderId="0" xfId="0" applyFont="1" applyFill="1" applyAlignment="1">
      <alignment horizontal="center" vertical="center"/>
    </xf>
    <xf numFmtId="0" fontId="4" fillId="4" borderId="0" xfId="0" applyFont="1" applyFill="1"/>
    <xf numFmtId="0" fontId="4" fillId="3" borderId="0" xfId="0" applyFont="1" applyFill="1" applyAlignment="1">
      <alignment horizontal="left"/>
    </xf>
    <xf numFmtId="0" fontId="5" fillId="3" borderId="0" xfId="0" applyFont="1" applyFill="1"/>
    <xf numFmtId="0" fontId="5" fillId="5" borderId="0" xfId="0" applyFont="1" applyFill="1" applyAlignment="1">
      <alignment vertical="center" wrapText="1"/>
    </xf>
    <xf numFmtId="0" fontId="4" fillId="5" borderId="0" xfId="0" applyFont="1" applyFill="1" applyAlignment="1">
      <alignment vertical="center" wrapText="1"/>
    </xf>
    <xf numFmtId="0" fontId="5" fillId="5" borderId="0" xfId="0" applyFont="1" applyFill="1" applyAlignment="1">
      <alignment vertical="center"/>
    </xf>
    <xf numFmtId="2" fontId="5" fillId="2" borderId="0" xfId="0" applyNumberFormat="1" applyFont="1" applyFill="1" applyAlignment="1">
      <alignment vertical="center" wrapText="1"/>
    </xf>
    <xf numFmtId="0" fontId="5" fillId="5" borderId="0" xfId="0" applyFont="1" applyFill="1"/>
    <xf numFmtId="0" fontId="6" fillId="5" borderId="0" xfId="0" applyFont="1" applyFill="1" applyAlignment="1">
      <alignment vertical="center" wrapText="1"/>
    </xf>
    <xf numFmtId="0" fontId="1" fillId="5" borderId="0" xfId="0" applyFont="1" applyFill="1"/>
    <xf numFmtId="0" fontId="1" fillId="5" borderId="0" xfId="0" applyFont="1" applyFill="1" applyAlignment="1">
      <alignment wrapText="1"/>
    </xf>
    <xf numFmtId="2" fontId="1" fillId="2" borderId="0" xfId="0" applyNumberFormat="1" applyFont="1" applyFill="1" applyAlignment="1">
      <alignment horizontal="right" wrapText="1"/>
    </xf>
    <xf numFmtId="0" fontId="1" fillId="5" borderId="0" xfId="0" applyFont="1" applyFill="1" applyAlignment="1">
      <alignment horizontal="right" wrapText="1"/>
    </xf>
    <xf numFmtId="0" fontId="5" fillId="6" borderId="0" xfId="0" applyFont="1" applyFill="1" applyAlignment="1">
      <alignment vertical="center" wrapText="1"/>
    </xf>
    <xf numFmtId="0" fontId="5" fillId="6" borderId="0" xfId="0" applyFont="1" applyFill="1" applyAlignment="1">
      <alignment vertical="center"/>
    </xf>
    <xf numFmtId="0" fontId="5" fillId="6" borderId="0" xfId="0" applyFont="1" applyFill="1"/>
    <xf numFmtId="0" fontId="7" fillId="6" borderId="0" xfId="0" applyFont="1" applyFill="1" applyAlignment="1">
      <alignment vertical="center" wrapText="1"/>
    </xf>
    <xf numFmtId="0" fontId="5" fillId="2" borderId="0" xfId="0" applyFont="1" applyFill="1" applyAlignment="1">
      <alignment vertical="center" wrapText="1"/>
    </xf>
    <xf numFmtId="3" fontId="8" fillId="2" borderId="0" xfId="0" applyNumberFormat="1" applyFont="1" applyFill="1" applyAlignment="1">
      <alignment horizontal="left" vertical="center" wrapText="1"/>
    </xf>
    <xf numFmtId="0" fontId="5" fillId="2" borderId="0" xfId="0" applyFont="1" applyFill="1" applyAlignment="1">
      <alignment vertical="center"/>
    </xf>
    <xf numFmtId="0" fontId="5" fillId="2" borderId="0" xfId="0" applyFont="1" applyFill="1"/>
    <xf numFmtId="0" fontId="9" fillId="2" borderId="0" xfId="0" applyFont="1" applyFill="1" applyAlignment="1">
      <alignment vertical="center" wrapText="1"/>
    </xf>
    <xf numFmtId="3" fontId="8" fillId="6" borderId="0" xfId="0" applyNumberFormat="1" applyFont="1" applyFill="1" applyAlignment="1">
      <alignment horizontal="left" vertical="center" wrapText="1"/>
    </xf>
    <xf numFmtId="0" fontId="10" fillId="2" borderId="0" xfId="0" applyFont="1" applyFill="1" applyAlignment="1">
      <alignment vertical="center"/>
    </xf>
    <xf numFmtId="0" fontId="12" fillId="2" borderId="0" xfId="0" applyFont="1" applyFill="1" applyAlignment="1">
      <alignment vertical="center"/>
    </xf>
    <xf numFmtId="0" fontId="5" fillId="2" borderId="0" xfId="0" applyFont="1" applyFill="1" applyAlignment="1">
      <alignment horizontal="center" vertical="center"/>
    </xf>
    <xf numFmtId="0" fontId="8" fillId="6" borderId="0" xfId="0" applyFont="1" applyFill="1" applyAlignment="1">
      <alignment horizontal="left" vertical="center"/>
    </xf>
    <xf numFmtId="0" fontId="5" fillId="6" borderId="0" xfId="0" applyFont="1" applyFill="1" applyAlignment="1">
      <alignment horizontal="center" vertical="center" wrapText="1"/>
    </xf>
    <xf numFmtId="0" fontId="5" fillId="2" borderId="0" xfId="0" applyFont="1" applyFill="1" applyAlignment="1">
      <alignment horizontal="center" vertical="center" wrapText="1"/>
    </xf>
    <xf numFmtId="0" fontId="13" fillId="2" borderId="0" xfId="0" applyFont="1" applyFill="1" applyAlignment="1">
      <alignment horizontal="left" vertical="center" wrapText="1"/>
    </xf>
    <xf numFmtId="0" fontId="5" fillId="2" borderId="0" xfId="0" applyFont="1" applyFill="1" applyAlignment="1">
      <alignment horizontal="left" vertical="center" wrapText="1"/>
    </xf>
    <xf numFmtId="0" fontId="5" fillId="7" borderId="0" xfId="0" applyFont="1" applyFill="1" applyAlignment="1">
      <alignment vertical="center" wrapText="1"/>
    </xf>
    <xf numFmtId="0" fontId="5" fillId="7" borderId="0" xfId="0" applyFont="1" applyFill="1" applyAlignment="1">
      <alignment horizontal="center" vertical="center" wrapText="1"/>
    </xf>
    <xf numFmtId="0" fontId="5" fillId="7" borderId="0" xfId="0" applyFont="1" applyFill="1" applyAlignment="1">
      <alignment horizontal="left" vertical="center" wrapText="1"/>
    </xf>
    <xf numFmtId="0" fontId="5" fillId="7" borderId="0" xfId="0" applyFont="1" applyFill="1"/>
    <xf numFmtId="0" fontId="5" fillId="8" borderId="0" xfId="0" applyFont="1" applyFill="1" applyAlignment="1">
      <alignment vertical="center" wrapText="1"/>
    </xf>
    <xf numFmtId="0" fontId="5" fillId="8" borderId="0" xfId="0" applyFont="1" applyFill="1" applyAlignment="1">
      <alignment horizontal="center" vertical="center" wrapText="1"/>
    </xf>
    <xf numFmtId="0" fontId="5" fillId="8" borderId="0" xfId="0" applyFont="1" applyFill="1"/>
    <xf numFmtId="0" fontId="14" fillId="8" borderId="0" xfId="0" applyFont="1" applyFill="1" applyAlignment="1">
      <alignment vertical="center" wrapText="1"/>
    </xf>
    <xf numFmtId="0" fontId="5" fillId="9" borderId="0" xfId="0" applyFont="1" applyFill="1" applyAlignment="1">
      <alignment vertical="center" wrapText="1"/>
    </xf>
    <xf numFmtId="0" fontId="5" fillId="9" borderId="0" xfId="0" applyFont="1" applyFill="1" applyAlignment="1">
      <alignment vertical="center"/>
    </xf>
    <xf numFmtId="0" fontId="5" fillId="9" borderId="0" xfId="0" applyFont="1" applyFill="1" applyAlignment="1">
      <alignment horizontal="center" vertical="center"/>
    </xf>
    <xf numFmtId="0" fontId="5" fillId="9" borderId="0" xfId="0" applyFont="1" applyFill="1"/>
    <xf numFmtId="0" fontId="5" fillId="8" borderId="0" xfId="0" applyFont="1" applyFill="1" applyAlignment="1">
      <alignment vertical="center"/>
    </xf>
    <xf numFmtId="0" fontId="5" fillId="8" borderId="0" xfId="0" applyFont="1" applyFill="1" applyAlignment="1">
      <alignment horizontal="center" vertical="center"/>
    </xf>
    <xf numFmtId="2" fontId="5" fillId="2" borderId="0" xfId="0" applyNumberFormat="1" applyFont="1" applyFill="1" applyAlignment="1">
      <alignment vertical="center"/>
    </xf>
    <xf numFmtId="0" fontId="5" fillId="0" borderId="0" xfId="0" applyFont="1" applyAlignment="1">
      <alignment vertical="center" wrapText="1"/>
    </xf>
    <xf numFmtId="0" fontId="5" fillId="0" borderId="0" xfId="0" applyFont="1" applyAlignment="1">
      <alignment vertical="center"/>
    </xf>
    <xf numFmtId="2" fontId="5" fillId="2" borderId="0" xfId="0" applyNumberFormat="1" applyFont="1" applyFill="1"/>
    <xf numFmtId="2" fontId="5" fillId="6" borderId="0" xfId="0" applyNumberFormat="1" applyFont="1" applyFill="1" applyAlignment="1">
      <alignment vertical="center" wrapText="1"/>
    </xf>
    <xf numFmtId="2" fontId="5" fillId="8" borderId="0" xfId="0" applyNumberFormat="1" applyFont="1" applyFill="1" applyAlignment="1">
      <alignment vertical="center" wrapText="1"/>
    </xf>
    <xf numFmtId="2" fontId="5" fillId="9" borderId="0" xfId="0" applyNumberFormat="1" applyFont="1" applyFill="1" applyAlignment="1">
      <alignment vertical="center" wrapText="1"/>
    </xf>
    <xf numFmtId="0" fontId="5" fillId="7" borderId="0" xfId="0" applyFont="1" applyFill="1" applyAlignment="1">
      <alignment vertical="center"/>
    </xf>
    <xf numFmtId="0" fontId="5" fillId="7" borderId="0" xfId="0" applyFont="1" applyFill="1" applyAlignment="1">
      <alignment wrapText="1"/>
    </xf>
    <xf numFmtId="0" fontId="0" fillId="0" borderId="0" xfId="0" applyAlignment="1">
      <alignment wrapText="1"/>
    </xf>
    <xf numFmtId="0" fontId="22" fillId="0" borderId="0" xfId="0" applyFont="1" applyAlignment="1">
      <alignment wrapText="1"/>
    </xf>
    <xf numFmtId="0" fontId="4" fillId="3" borderId="0" xfId="0" applyFont="1" applyFill="1" applyAlignment="1">
      <alignment wrapText="1"/>
    </xf>
    <xf numFmtId="0" fontId="4" fillId="3" borderId="0" xfId="0" applyFont="1" applyFill="1" applyAlignment="1">
      <alignment horizontal="center" vertical="center" wrapText="1"/>
    </xf>
    <xf numFmtId="0" fontId="1" fillId="2" borderId="0" xfId="0" applyFont="1" applyFill="1" applyAlignment="1">
      <alignment vertical="center" wrapText="1"/>
    </xf>
    <xf numFmtId="1" fontId="0" fillId="0" borderId="0" xfId="0" applyNumberFormat="1"/>
    <xf numFmtId="1" fontId="0" fillId="0" borderId="0" xfId="0" applyNumberFormat="1" applyAlignment="1">
      <alignment wrapText="1"/>
    </xf>
    <xf numFmtId="1" fontId="5" fillId="6" borderId="0" xfId="0" applyNumberFormat="1" applyFont="1" applyFill="1" applyAlignment="1">
      <alignment vertical="center" wrapText="1"/>
    </xf>
    <xf numFmtId="1" fontId="11" fillId="6" borderId="0" xfId="0" applyNumberFormat="1" applyFont="1" applyFill="1" applyAlignment="1">
      <alignment vertical="center" wrapText="1"/>
    </xf>
    <xf numFmtId="1" fontId="5" fillId="8" borderId="0" xfId="0" applyNumberFormat="1" applyFont="1" applyFill="1" applyAlignment="1">
      <alignment vertical="center" wrapText="1"/>
    </xf>
    <xf numFmtId="1" fontId="5" fillId="0" borderId="0" xfId="0" applyNumberFormat="1" applyFont="1" applyAlignment="1">
      <alignment vertical="center" wrapText="1"/>
    </xf>
    <xf numFmtId="1" fontId="28" fillId="3" borderId="0" xfId="0" applyNumberFormat="1" applyFont="1" applyFill="1"/>
    <xf numFmtId="1" fontId="4" fillId="3" borderId="0" xfId="0" applyNumberFormat="1" applyFont="1" applyFill="1" applyAlignment="1">
      <alignment wrapText="1"/>
    </xf>
    <xf numFmtId="1" fontId="5" fillId="2" borderId="0" xfId="0" applyNumberFormat="1" applyFont="1" applyFill="1" applyAlignment="1">
      <alignment vertical="center" wrapText="1"/>
    </xf>
    <xf numFmtId="1" fontId="15" fillId="8" borderId="0" xfId="0" applyNumberFormat="1" applyFont="1" applyFill="1" applyAlignment="1">
      <alignment vertical="center" wrapText="1"/>
    </xf>
    <xf numFmtId="1" fontId="16" fillId="9" borderId="0" xfId="0" applyNumberFormat="1" applyFont="1" applyFill="1" applyAlignment="1">
      <alignment vertical="center" wrapText="1"/>
    </xf>
    <xf numFmtId="1" fontId="5" fillId="7" borderId="0" xfId="0" applyNumberFormat="1" applyFont="1" applyFill="1" applyAlignment="1">
      <alignment vertical="center" wrapText="1"/>
    </xf>
    <xf numFmtId="1" fontId="5" fillId="7" borderId="0" xfId="0" applyNumberFormat="1" applyFont="1" applyFill="1"/>
    <xf numFmtId="1" fontId="28" fillId="3"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86E8"/>
    <outlinePr summaryBelow="0" summaryRight="0"/>
  </sheetPr>
  <dimension ref="A1:AS1100"/>
  <sheetViews>
    <sheetView tabSelected="1" workbookViewId="0">
      <pane xSplit="3" ySplit="1" topLeftCell="D96" activePane="bottomRight" state="frozen"/>
      <selection pane="topRight" activeCell="D1" sqref="D1"/>
      <selection pane="bottomLeft" activeCell="A2" sqref="A2"/>
      <selection pane="bottomRight" activeCell="C102" sqref="C102"/>
    </sheetView>
  </sheetViews>
  <sheetFormatPr defaultColWidth="12.59765625" defaultRowHeight="15.75" customHeight="1" x14ac:dyDescent="0.35"/>
  <cols>
    <col min="1" max="1" width="4.73046875" customWidth="1"/>
    <col min="2" max="2" width="5.86328125" customWidth="1"/>
    <col min="3" max="3" width="17.46484375" customWidth="1"/>
    <col min="4" max="4" width="9.59765625" style="64" customWidth="1"/>
    <col min="5" max="5" width="7.59765625" customWidth="1"/>
    <col min="6" max="6" width="61.3984375" customWidth="1"/>
    <col min="7" max="7" width="9.59765625" customWidth="1"/>
    <col min="8" max="8" width="16" customWidth="1"/>
    <col min="9" max="9" width="6.46484375" customWidth="1"/>
    <col min="10" max="10" width="14.1328125" customWidth="1"/>
    <col min="11" max="11" width="15.46484375" customWidth="1"/>
    <col min="12" max="16" width="8" customWidth="1"/>
    <col min="17" max="17" width="5.73046875" customWidth="1"/>
    <col min="18" max="18" width="10.73046875" customWidth="1"/>
    <col min="19" max="19" width="9.59765625" customWidth="1"/>
    <col min="20" max="20" width="7.3984375" customWidth="1"/>
    <col min="21" max="22" width="6.86328125" customWidth="1"/>
    <col min="23" max="23" width="9.265625" customWidth="1"/>
    <col min="24" max="24" width="12.3984375" customWidth="1"/>
    <col min="25" max="25" width="14.1328125" customWidth="1"/>
    <col min="26" max="26" width="15.265625" customWidth="1"/>
    <col min="28" max="28" width="23.59765625" customWidth="1"/>
  </cols>
  <sheetData>
    <row r="1" spans="1:45" ht="26.25" customHeight="1" x14ac:dyDescent="0.4">
      <c r="A1" s="1" t="s">
        <v>6</v>
      </c>
      <c r="B1" s="2" t="s">
        <v>7</v>
      </c>
      <c r="C1" s="3" t="s">
        <v>8</v>
      </c>
      <c r="D1" s="70" t="s">
        <v>754</v>
      </c>
      <c r="E1" s="5" t="s">
        <v>9</v>
      </c>
      <c r="F1" s="4" t="s">
        <v>10</v>
      </c>
      <c r="G1" s="3" t="s">
        <v>11</v>
      </c>
      <c r="H1" s="3" t="s">
        <v>12</v>
      </c>
      <c r="I1" s="3" t="s">
        <v>13</v>
      </c>
      <c r="J1" s="3" t="s">
        <v>14</v>
      </c>
      <c r="K1" s="3" t="s">
        <v>15</v>
      </c>
      <c r="L1" s="5" t="s">
        <v>16</v>
      </c>
      <c r="M1" s="3" t="s">
        <v>17</v>
      </c>
      <c r="N1" s="3" t="s">
        <v>18</v>
      </c>
      <c r="O1" s="3" t="s">
        <v>19</v>
      </c>
      <c r="P1" s="3" t="s">
        <v>20</v>
      </c>
      <c r="Q1" s="3" t="s">
        <v>21</v>
      </c>
      <c r="R1" s="6" t="s">
        <v>0</v>
      </c>
      <c r="S1" s="6" t="s">
        <v>1</v>
      </c>
      <c r="T1" s="6" t="s">
        <v>22</v>
      </c>
      <c r="U1" s="6" t="s">
        <v>2</v>
      </c>
      <c r="V1" s="6" t="s">
        <v>3</v>
      </c>
      <c r="W1" s="3" t="s">
        <v>23</v>
      </c>
      <c r="X1" s="3" t="s">
        <v>24</v>
      </c>
      <c r="Y1" s="3" t="s">
        <v>25</v>
      </c>
      <c r="Z1" s="3" t="s">
        <v>26</v>
      </c>
      <c r="AA1" s="3" t="s">
        <v>27</v>
      </c>
      <c r="AB1" s="3" t="s">
        <v>28</v>
      </c>
      <c r="AC1" s="7"/>
      <c r="AD1" s="7"/>
      <c r="AE1" s="7"/>
      <c r="AF1" s="7"/>
      <c r="AG1" s="7"/>
      <c r="AH1" s="7"/>
      <c r="AI1" s="7"/>
      <c r="AJ1" s="7"/>
      <c r="AK1" s="7"/>
      <c r="AL1" s="7"/>
      <c r="AM1" s="7"/>
      <c r="AN1" s="7"/>
      <c r="AO1" s="7"/>
      <c r="AP1" s="7"/>
      <c r="AQ1" s="7"/>
      <c r="AR1" s="7"/>
      <c r="AS1" s="7"/>
    </row>
    <row r="2" spans="1:45" ht="140.25" x14ac:dyDescent="0.35">
      <c r="A2" s="8" t="s">
        <v>29</v>
      </c>
      <c r="B2" s="8" t="s">
        <v>29</v>
      </c>
      <c r="C2" s="9" t="s">
        <v>30</v>
      </c>
      <c r="D2" s="64">
        <v>2499000</v>
      </c>
      <c r="E2" t="s">
        <v>29</v>
      </c>
      <c r="F2" s="60" t="s">
        <v>698</v>
      </c>
      <c r="G2" s="10" t="s">
        <v>31</v>
      </c>
      <c r="H2" s="10" t="s">
        <v>32</v>
      </c>
      <c r="I2" s="10" t="s">
        <v>33</v>
      </c>
      <c r="J2" s="8" t="s">
        <v>34</v>
      </c>
      <c r="K2" t="s">
        <v>699</v>
      </c>
      <c r="L2" s="11">
        <f t="shared" ref="L2:L22" si="0">SUM(M2:W2)/11</f>
        <v>9.4090909090909083</v>
      </c>
      <c r="M2" s="8">
        <v>8.5</v>
      </c>
      <c r="N2" s="8">
        <v>8.5</v>
      </c>
      <c r="O2" s="8">
        <v>10</v>
      </c>
      <c r="P2" s="8">
        <v>10</v>
      </c>
      <c r="Q2" s="8">
        <v>9.5</v>
      </c>
      <c r="R2" s="8">
        <v>11</v>
      </c>
      <c r="S2" s="8">
        <v>9</v>
      </c>
      <c r="T2" s="8">
        <v>9.5</v>
      </c>
      <c r="U2" s="8">
        <v>9</v>
      </c>
      <c r="V2" s="8">
        <v>9</v>
      </c>
      <c r="W2" s="8">
        <v>9.5</v>
      </c>
      <c r="X2" s="8" t="s">
        <v>35</v>
      </c>
      <c r="Y2" s="8" t="s">
        <v>36</v>
      </c>
      <c r="Z2" s="8" t="s">
        <v>37</v>
      </c>
      <c r="AA2" s="12" t="s">
        <v>38</v>
      </c>
      <c r="AB2" s="8" t="s">
        <v>39</v>
      </c>
      <c r="AC2" s="12"/>
      <c r="AD2" s="12"/>
      <c r="AE2" s="12"/>
      <c r="AF2" s="12"/>
      <c r="AG2" s="12"/>
      <c r="AH2" s="12"/>
      <c r="AI2" s="12"/>
      <c r="AJ2" s="12"/>
      <c r="AK2" s="12"/>
      <c r="AL2" s="12"/>
      <c r="AM2" s="12"/>
      <c r="AN2" s="12"/>
      <c r="AO2" s="12"/>
      <c r="AP2" s="12"/>
      <c r="AQ2" s="12"/>
      <c r="AR2" s="12"/>
      <c r="AS2" s="12"/>
    </row>
    <row r="3" spans="1:45" ht="98.65" x14ac:dyDescent="0.35">
      <c r="A3" s="8" t="s">
        <v>29</v>
      </c>
      <c r="B3" s="8" t="s">
        <v>40</v>
      </c>
      <c r="C3" s="9" t="s">
        <v>41</v>
      </c>
      <c r="D3" s="64">
        <v>4999000</v>
      </c>
      <c r="E3" t="s">
        <v>42</v>
      </c>
      <c r="F3" s="8" t="s">
        <v>43</v>
      </c>
      <c r="G3" s="10" t="s">
        <v>44</v>
      </c>
      <c r="H3" s="10" t="s">
        <v>45</v>
      </c>
      <c r="I3" s="10" t="s">
        <v>46</v>
      </c>
      <c r="J3" s="8" t="s">
        <v>47</v>
      </c>
      <c r="K3" t="s">
        <v>700</v>
      </c>
      <c r="L3" s="11">
        <f t="shared" si="0"/>
        <v>9.545454545454545</v>
      </c>
      <c r="M3" s="8">
        <v>9.5</v>
      </c>
      <c r="N3" s="8">
        <v>9.5</v>
      </c>
      <c r="O3" s="8">
        <v>10</v>
      </c>
      <c r="P3" s="8">
        <v>9.5</v>
      </c>
      <c r="Q3" s="8">
        <v>10</v>
      </c>
      <c r="R3" s="8">
        <v>8.5</v>
      </c>
      <c r="S3" s="8">
        <v>10</v>
      </c>
      <c r="T3" s="8">
        <v>9.5</v>
      </c>
      <c r="U3" s="8">
        <v>8.5</v>
      </c>
      <c r="V3" s="8">
        <v>10</v>
      </c>
      <c r="W3" s="8">
        <v>10</v>
      </c>
      <c r="X3" s="8" t="s">
        <v>48</v>
      </c>
      <c r="Y3" s="8" t="s">
        <v>36</v>
      </c>
      <c r="Z3" s="8" t="s">
        <v>49</v>
      </c>
      <c r="AA3" s="12" t="s">
        <v>50</v>
      </c>
      <c r="AB3" s="8" t="s">
        <v>39</v>
      </c>
      <c r="AC3" s="12"/>
      <c r="AD3" s="12"/>
      <c r="AE3" s="12"/>
      <c r="AF3" s="12"/>
      <c r="AG3" s="12"/>
      <c r="AH3" s="12"/>
      <c r="AI3" s="12"/>
      <c r="AJ3" s="12"/>
      <c r="AK3" s="12"/>
      <c r="AL3" s="12"/>
      <c r="AM3" s="12"/>
      <c r="AN3" s="12"/>
      <c r="AO3" s="12"/>
      <c r="AP3" s="12"/>
      <c r="AQ3" s="12"/>
      <c r="AR3" s="12"/>
      <c r="AS3" s="12"/>
    </row>
    <row r="4" spans="1:45" ht="76.5" x14ac:dyDescent="0.35">
      <c r="A4" s="8" t="s">
        <v>29</v>
      </c>
      <c r="B4" s="8" t="s">
        <v>33</v>
      </c>
      <c r="C4" s="9" t="s">
        <v>51</v>
      </c>
      <c r="D4" s="64">
        <v>6999000</v>
      </c>
      <c r="E4" s="8"/>
      <c r="F4" s="8" t="s">
        <v>52</v>
      </c>
      <c r="G4" s="10" t="s">
        <v>53</v>
      </c>
      <c r="H4" s="10" t="s">
        <v>54</v>
      </c>
      <c r="I4" s="10" t="s">
        <v>40</v>
      </c>
      <c r="J4" s="8" t="s">
        <v>47</v>
      </c>
      <c r="K4" t="s">
        <v>701</v>
      </c>
      <c r="L4" s="11">
        <f t="shared" si="0"/>
        <v>9.5909090909090917</v>
      </c>
      <c r="M4" s="8">
        <v>10</v>
      </c>
      <c r="N4" s="8">
        <v>9.5</v>
      </c>
      <c r="O4" s="8">
        <v>9</v>
      </c>
      <c r="P4" s="8">
        <v>8.5</v>
      </c>
      <c r="Q4" s="8">
        <v>9.5</v>
      </c>
      <c r="R4" s="8">
        <v>10</v>
      </c>
      <c r="S4" s="8">
        <v>9</v>
      </c>
      <c r="T4" s="8">
        <v>10</v>
      </c>
      <c r="U4" s="8">
        <v>9</v>
      </c>
      <c r="V4" s="8">
        <v>11</v>
      </c>
      <c r="W4" s="8">
        <v>10</v>
      </c>
      <c r="X4" s="8" t="s">
        <v>55</v>
      </c>
      <c r="Y4" s="8" t="s">
        <v>56</v>
      </c>
      <c r="Z4" s="8" t="s">
        <v>57</v>
      </c>
      <c r="AA4" s="12" t="s">
        <v>50</v>
      </c>
      <c r="AB4" s="8" t="s">
        <v>39</v>
      </c>
      <c r="AC4" s="12"/>
      <c r="AD4" s="12"/>
      <c r="AE4" s="12"/>
      <c r="AF4" s="12"/>
      <c r="AG4" s="12"/>
      <c r="AH4" s="12"/>
      <c r="AI4" s="12"/>
      <c r="AJ4" s="12"/>
      <c r="AK4" s="12"/>
      <c r="AL4" s="12"/>
      <c r="AM4" s="12"/>
      <c r="AN4" s="12"/>
      <c r="AO4" s="12"/>
      <c r="AP4" s="12"/>
      <c r="AQ4" s="12"/>
      <c r="AR4" s="12"/>
      <c r="AS4" s="12"/>
    </row>
    <row r="5" spans="1:45" ht="64.900000000000006" x14ac:dyDescent="0.35">
      <c r="A5" s="8" t="s">
        <v>40</v>
      </c>
      <c r="B5" s="8" t="s">
        <v>40</v>
      </c>
      <c r="C5" s="8" t="s">
        <v>58</v>
      </c>
      <c r="D5" s="64">
        <v>2499000</v>
      </c>
      <c r="E5" t="s">
        <v>59</v>
      </c>
      <c r="F5" t="s">
        <v>671</v>
      </c>
      <c r="G5" s="10" t="s">
        <v>60</v>
      </c>
      <c r="H5" s="10" t="s">
        <v>61</v>
      </c>
      <c r="I5" s="10" t="s">
        <v>62</v>
      </c>
      <c r="J5" s="8" t="s">
        <v>63</v>
      </c>
      <c r="K5" s="8" t="s">
        <v>64</v>
      </c>
      <c r="L5" s="11">
        <f t="shared" si="0"/>
        <v>9.045454545454545</v>
      </c>
      <c r="M5" s="8">
        <v>9.5</v>
      </c>
      <c r="N5" s="8">
        <v>9</v>
      </c>
      <c r="O5" s="8">
        <v>10</v>
      </c>
      <c r="P5" s="8">
        <v>8.5</v>
      </c>
      <c r="Q5" s="8">
        <v>10</v>
      </c>
      <c r="R5" s="8">
        <v>8.5</v>
      </c>
      <c r="S5" s="8">
        <v>9</v>
      </c>
      <c r="T5" s="8">
        <v>9</v>
      </c>
      <c r="U5" s="8">
        <v>9</v>
      </c>
      <c r="V5" s="8">
        <v>8.5</v>
      </c>
      <c r="W5" s="8">
        <v>8.5</v>
      </c>
      <c r="X5" s="8" t="s">
        <v>48</v>
      </c>
      <c r="Y5" s="8" t="s">
        <v>36</v>
      </c>
      <c r="Z5" s="8" t="s">
        <v>57</v>
      </c>
      <c r="AA5" s="12" t="s">
        <v>50</v>
      </c>
      <c r="AB5" s="13"/>
      <c r="AC5" s="12"/>
      <c r="AD5" s="12"/>
      <c r="AE5" s="12"/>
      <c r="AF5" s="12"/>
      <c r="AG5" s="12"/>
      <c r="AH5" s="12"/>
      <c r="AI5" s="12"/>
      <c r="AJ5" s="12"/>
      <c r="AK5" s="12"/>
      <c r="AL5" s="12"/>
      <c r="AM5" s="12"/>
      <c r="AN5" s="12"/>
      <c r="AO5" s="12"/>
      <c r="AP5" s="12"/>
      <c r="AQ5" s="12"/>
      <c r="AR5" s="12"/>
      <c r="AS5" s="12"/>
    </row>
    <row r="6" spans="1:45" ht="51" x14ac:dyDescent="0.35">
      <c r="A6" s="8" t="s">
        <v>40</v>
      </c>
      <c r="B6" s="8" t="s">
        <v>40</v>
      </c>
      <c r="C6" s="8" t="s">
        <v>65</v>
      </c>
      <c r="D6" s="64">
        <v>3350000</v>
      </c>
      <c r="E6" t="s">
        <v>40</v>
      </c>
      <c r="F6" t="s">
        <v>672</v>
      </c>
      <c r="G6" s="10" t="s">
        <v>66</v>
      </c>
      <c r="H6" s="10" t="s">
        <v>67</v>
      </c>
      <c r="I6" s="10" t="s">
        <v>46</v>
      </c>
      <c r="J6" s="8" t="s">
        <v>68</v>
      </c>
      <c r="K6" t="s">
        <v>701</v>
      </c>
      <c r="L6" s="11">
        <f t="shared" si="0"/>
        <v>8.8636363636363633</v>
      </c>
      <c r="M6" s="8">
        <v>9</v>
      </c>
      <c r="N6" s="8">
        <v>9</v>
      </c>
      <c r="O6" s="8">
        <v>8</v>
      </c>
      <c r="P6" s="8">
        <v>9</v>
      </c>
      <c r="Q6" s="8">
        <v>9</v>
      </c>
      <c r="R6" s="8">
        <v>8.5</v>
      </c>
      <c r="S6" s="8">
        <v>9</v>
      </c>
      <c r="T6" s="8">
        <v>8.5</v>
      </c>
      <c r="U6" s="8">
        <v>9.5</v>
      </c>
      <c r="V6" s="8">
        <v>9</v>
      </c>
      <c r="W6" s="8">
        <v>9</v>
      </c>
      <c r="X6" s="8" t="s">
        <v>38</v>
      </c>
      <c r="Y6" s="8" t="s">
        <v>36</v>
      </c>
      <c r="Z6" s="8" t="s">
        <v>57</v>
      </c>
      <c r="AA6" s="12" t="s">
        <v>50</v>
      </c>
      <c r="AB6" s="60" t="s">
        <v>702</v>
      </c>
      <c r="AC6" s="12"/>
      <c r="AD6" s="12"/>
      <c r="AE6" s="12"/>
      <c r="AF6" s="12"/>
      <c r="AG6" s="12"/>
      <c r="AH6" s="12"/>
      <c r="AI6" s="12"/>
      <c r="AJ6" s="12"/>
      <c r="AK6" s="12"/>
      <c r="AL6" s="12"/>
      <c r="AM6" s="12"/>
      <c r="AN6" s="12"/>
      <c r="AO6" s="12"/>
      <c r="AP6" s="12"/>
      <c r="AQ6" s="12"/>
      <c r="AR6" s="12"/>
      <c r="AS6" s="12"/>
    </row>
    <row r="7" spans="1:45" ht="89.25" x14ac:dyDescent="0.35">
      <c r="A7" s="8" t="s">
        <v>40</v>
      </c>
      <c r="B7" s="8" t="s">
        <v>40</v>
      </c>
      <c r="C7" s="8" t="s">
        <v>69</v>
      </c>
      <c r="D7" s="64">
        <v>2990000</v>
      </c>
      <c r="E7" t="s">
        <v>70</v>
      </c>
      <c r="F7" s="59" t="s">
        <v>745</v>
      </c>
      <c r="G7" s="10" t="s">
        <v>71</v>
      </c>
      <c r="H7" s="10" t="s">
        <v>72</v>
      </c>
      <c r="I7" s="10" t="s">
        <v>73</v>
      </c>
      <c r="J7" s="8" t="s">
        <v>68</v>
      </c>
      <c r="K7" s="8" t="s">
        <v>74</v>
      </c>
      <c r="L7" s="11">
        <f t="shared" si="0"/>
        <v>8.8818181818181827</v>
      </c>
      <c r="M7" s="8">
        <v>9</v>
      </c>
      <c r="N7" s="8">
        <v>8.6999999999999993</v>
      </c>
      <c r="O7" s="8">
        <v>8</v>
      </c>
      <c r="P7" s="8">
        <v>9.5</v>
      </c>
      <c r="Q7" s="8">
        <v>9</v>
      </c>
      <c r="R7" s="8">
        <v>8.5</v>
      </c>
      <c r="S7" s="8">
        <v>9</v>
      </c>
      <c r="T7" s="8">
        <v>8.5</v>
      </c>
      <c r="U7" s="8">
        <v>9.5</v>
      </c>
      <c r="V7" s="8">
        <v>9</v>
      </c>
      <c r="W7" s="8">
        <v>9</v>
      </c>
      <c r="X7" s="8" t="s">
        <v>38</v>
      </c>
      <c r="Y7" s="8" t="s">
        <v>36</v>
      </c>
      <c r="Z7" s="8" t="s">
        <v>57</v>
      </c>
      <c r="AA7" s="12" t="s">
        <v>50</v>
      </c>
      <c r="AB7" s="13"/>
      <c r="AC7" s="12"/>
      <c r="AD7" s="12"/>
      <c r="AE7" s="12"/>
      <c r="AF7" s="12"/>
      <c r="AG7" s="12"/>
      <c r="AH7" s="12"/>
      <c r="AI7" s="12"/>
      <c r="AJ7" s="12"/>
      <c r="AK7" s="12"/>
      <c r="AL7" s="12"/>
      <c r="AM7" s="12"/>
      <c r="AN7" s="12"/>
      <c r="AO7" s="12"/>
      <c r="AP7" s="12"/>
      <c r="AQ7" s="12"/>
      <c r="AR7" s="12"/>
      <c r="AS7" s="12"/>
    </row>
    <row r="8" spans="1:45" ht="76.5" x14ac:dyDescent="0.35">
      <c r="A8" s="8" t="s">
        <v>40</v>
      </c>
      <c r="B8" s="8" t="s">
        <v>40</v>
      </c>
      <c r="C8" s="8" t="s">
        <v>75</v>
      </c>
      <c r="D8" s="64">
        <v>2799000</v>
      </c>
      <c r="E8" t="s">
        <v>59</v>
      </c>
      <c r="F8" s="59" t="s">
        <v>746</v>
      </c>
      <c r="G8" s="10" t="s">
        <v>53</v>
      </c>
      <c r="H8" s="10" t="s">
        <v>76</v>
      </c>
      <c r="I8" s="10" t="s">
        <v>77</v>
      </c>
      <c r="J8" s="8" t="s">
        <v>47</v>
      </c>
      <c r="K8" s="8" t="s">
        <v>78</v>
      </c>
      <c r="L8" s="11">
        <f t="shared" si="0"/>
        <v>8.918181818181818</v>
      </c>
      <c r="M8" s="8">
        <v>9</v>
      </c>
      <c r="N8" s="8">
        <v>8.9</v>
      </c>
      <c r="O8" s="8">
        <v>10</v>
      </c>
      <c r="P8" s="8">
        <v>8.6999999999999993</v>
      </c>
      <c r="Q8" s="8">
        <v>9</v>
      </c>
      <c r="R8" s="8">
        <v>8.5</v>
      </c>
      <c r="S8" s="8">
        <v>9</v>
      </c>
      <c r="T8" s="8">
        <v>9</v>
      </c>
      <c r="U8" s="8">
        <v>8.5</v>
      </c>
      <c r="V8" s="8">
        <v>8.5</v>
      </c>
      <c r="W8" s="8">
        <v>9</v>
      </c>
      <c r="X8" s="8" t="s">
        <v>48</v>
      </c>
      <c r="Y8" s="8" t="s">
        <v>36</v>
      </c>
      <c r="Z8" s="8" t="s">
        <v>79</v>
      </c>
      <c r="AA8" s="12" t="s">
        <v>48</v>
      </c>
      <c r="AB8" s="13"/>
      <c r="AC8" s="12"/>
      <c r="AD8" s="12"/>
      <c r="AE8" s="12"/>
      <c r="AF8" s="12"/>
      <c r="AG8" s="12"/>
      <c r="AH8" s="12"/>
      <c r="AI8" s="12"/>
      <c r="AJ8" s="12"/>
      <c r="AK8" s="12"/>
      <c r="AL8" s="12"/>
      <c r="AM8" s="12"/>
      <c r="AN8" s="12"/>
      <c r="AO8" s="12"/>
      <c r="AP8" s="12"/>
      <c r="AQ8" s="12"/>
      <c r="AR8" s="12"/>
      <c r="AS8" s="12"/>
    </row>
    <row r="9" spans="1:45" ht="89.25" x14ac:dyDescent="0.35">
      <c r="A9" s="8" t="s">
        <v>40</v>
      </c>
      <c r="B9" s="8" t="s">
        <v>40</v>
      </c>
      <c r="C9" s="8" t="s">
        <v>80</v>
      </c>
      <c r="D9" s="64">
        <v>2400000</v>
      </c>
      <c r="E9" t="s">
        <v>40</v>
      </c>
      <c r="F9" s="8" t="s">
        <v>81</v>
      </c>
      <c r="G9" s="14" t="s">
        <v>82</v>
      </c>
      <c r="H9" s="14" t="s">
        <v>83</v>
      </c>
      <c r="I9" s="14" t="s">
        <v>77</v>
      </c>
      <c r="J9" s="15" t="s">
        <v>84</v>
      </c>
      <c r="K9" s="15" t="s">
        <v>85</v>
      </c>
      <c r="L9" s="16">
        <f t="shared" si="0"/>
        <v>8.7727272727272734</v>
      </c>
      <c r="M9" s="17">
        <v>9</v>
      </c>
      <c r="N9" s="17">
        <v>8</v>
      </c>
      <c r="O9" s="17">
        <v>8.5</v>
      </c>
      <c r="P9" s="17">
        <v>7.5</v>
      </c>
      <c r="Q9" s="17">
        <v>9.5</v>
      </c>
      <c r="R9" s="17">
        <v>10</v>
      </c>
      <c r="S9" s="17">
        <v>9.5</v>
      </c>
      <c r="T9" s="17">
        <v>9</v>
      </c>
      <c r="U9" s="17">
        <v>7.5</v>
      </c>
      <c r="V9" s="17">
        <v>9</v>
      </c>
      <c r="W9" s="17">
        <v>9</v>
      </c>
      <c r="X9" s="15" t="s">
        <v>48</v>
      </c>
      <c r="Y9" s="15" t="s">
        <v>36</v>
      </c>
      <c r="Z9" s="15" t="s">
        <v>79</v>
      </c>
      <c r="AA9" s="14" t="s">
        <v>48</v>
      </c>
      <c r="AB9" s="8"/>
      <c r="AC9" s="12"/>
      <c r="AD9" s="12"/>
      <c r="AE9" s="12"/>
      <c r="AF9" s="12"/>
      <c r="AG9" s="12"/>
      <c r="AH9" s="12"/>
      <c r="AI9" s="12"/>
      <c r="AJ9" s="12"/>
      <c r="AK9" s="12"/>
      <c r="AL9" s="12"/>
      <c r="AM9" s="12"/>
      <c r="AN9" s="12"/>
      <c r="AO9" s="12"/>
      <c r="AP9" s="12"/>
      <c r="AQ9" s="12"/>
      <c r="AR9" s="12"/>
      <c r="AS9" s="12"/>
    </row>
    <row r="10" spans="1:45" ht="76.5" hidden="1" x14ac:dyDescent="0.35">
      <c r="A10" s="8" t="s">
        <v>40</v>
      </c>
      <c r="B10" s="8" t="s">
        <v>40</v>
      </c>
      <c r="C10" s="8" t="s">
        <v>86</v>
      </c>
      <c r="D10" s="64">
        <v>2150000</v>
      </c>
      <c r="E10" t="s">
        <v>40</v>
      </c>
      <c r="F10" s="8" t="s">
        <v>87</v>
      </c>
      <c r="G10" s="10" t="s">
        <v>71</v>
      </c>
      <c r="H10" s="10" t="s">
        <v>88</v>
      </c>
      <c r="I10" s="10" t="s">
        <v>77</v>
      </c>
      <c r="J10" s="8" t="s">
        <v>84</v>
      </c>
      <c r="K10" s="8" t="s">
        <v>85</v>
      </c>
      <c r="L10" s="11">
        <f t="shared" si="0"/>
        <v>8.745454545454546</v>
      </c>
      <c r="M10" s="8">
        <v>9</v>
      </c>
      <c r="N10" s="8">
        <v>8</v>
      </c>
      <c r="O10" s="8">
        <v>8.5</v>
      </c>
      <c r="P10" s="8">
        <v>7.5</v>
      </c>
      <c r="Q10" s="8">
        <v>9.5</v>
      </c>
      <c r="R10" s="8">
        <v>10</v>
      </c>
      <c r="S10" s="8">
        <v>9.5</v>
      </c>
      <c r="T10" s="8">
        <v>9</v>
      </c>
      <c r="U10" s="8">
        <v>7.2</v>
      </c>
      <c r="V10" s="8">
        <v>9</v>
      </c>
      <c r="W10" s="8">
        <v>9</v>
      </c>
      <c r="X10" s="8" t="s">
        <v>48</v>
      </c>
      <c r="Y10" s="8" t="s">
        <v>36</v>
      </c>
      <c r="Z10" s="8" t="s">
        <v>79</v>
      </c>
      <c r="AA10" s="12" t="s">
        <v>48</v>
      </c>
      <c r="AB10" s="8"/>
      <c r="AC10" s="12"/>
      <c r="AD10" s="12"/>
      <c r="AE10" s="12"/>
      <c r="AF10" s="12"/>
      <c r="AG10" s="12"/>
      <c r="AH10" s="12"/>
      <c r="AI10" s="12"/>
      <c r="AJ10" s="12"/>
      <c r="AK10" s="12"/>
      <c r="AL10" s="12"/>
      <c r="AM10" s="12"/>
      <c r="AN10" s="12"/>
      <c r="AO10" s="12"/>
      <c r="AP10" s="12"/>
      <c r="AQ10" s="12"/>
      <c r="AR10" s="12"/>
      <c r="AS10" s="12"/>
    </row>
    <row r="11" spans="1:45" ht="76.5" x14ac:dyDescent="0.35">
      <c r="A11" s="8" t="s">
        <v>40</v>
      </c>
      <c r="B11" s="8" t="s">
        <v>40</v>
      </c>
      <c r="C11" s="8" t="s">
        <v>89</v>
      </c>
      <c r="D11" s="64">
        <v>1800000</v>
      </c>
      <c r="E11" t="s">
        <v>668</v>
      </c>
      <c r="F11" s="8" t="s">
        <v>90</v>
      </c>
      <c r="G11" s="10" t="s">
        <v>91</v>
      </c>
      <c r="H11" s="10" t="s">
        <v>92</v>
      </c>
      <c r="I11" s="10" t="s">
        <v>46</v>
      </c>
      <c r="J11" s="8" t="s">
        <v>47</v>
      </c>
      <c r="K11" t="s">
        <v>703</v>
      </c>
      <c r="L11" s="11">
        <f t="shared" si="0"/>
        <v>8.290909090909091</v>
      </c>
      <c r="M11" s="8">
        <v>9</v>
      </c>
      <c r="N11" s="8">
        <v>8</v>
      </c>
      <c r="O11" s="8">
        <v>8.5</v>
      </c>
      <c r="P11" s="8">
        <v>7.7</v>
      </c>
      <c r="Q11" s="8">
        <v>8.5</v>
      </c>
      <c r="R11" s="8">
        <v>8</v>
      </c>
      <c r="S11" s="8">
        <v>8.5</v>
      </c>
      <c r="T11" s="8">
        <v>8.5</v>
      </c>
      <c r="U11" s="8">
        <v>7.5</v>
      </c>
      <c r="V11" s="8">
        <v>8</v>
      </c>
      <c r="W11" s="8">
        <v>9</v>
      </c>
      <c r="X11" s="8" t="s">
        <v>48</v>
      </c>
      <c r="Y11" s="8" t="s">
        <v>93</v>
      </c>
      <c r="Z11" s="8" t="s">
        <v>79</v>
      </c>
      <c r="AA11" s="12" t="s">
        <v>55</v>
      </c>
      <c r="AB11" t="s">
        <v>94</v>
      </c>
      <c r="AC11" s="12"/>
      <c r="AD11" s="12"/>
      <c r="AE11" s="12"/>
      <c r="AF11" s="12"/>
      <c r="AG11" s="12"/>
      <c r="AH11" s="12"/>
      <c r="AI11" s="12"/>
      <c r="AJ11" s="12"/>
      <c r="AK11" s="12"/>
      <c r="AL11" s="12"/>
      <c r="AM11" s="12"/>
      <c r="AN11" s="12"/>
      <c r="AO11" s="12"/>
      <c r="AP11" s="12"/>
      <c r="AQ11" s="12"/>
      <c r="AR11" s="12"/>
      <c r="AS11" s="12"/>
    </row>
    <row r="12" spans="1:45" ht="76.5" x14ac:dyDescent="0.35">
      <c r="A12" s="18" t="s">
        <v>73</v>
      </c>
      <c r="B12" s="18" t="s">
        <v>29</v>
      </c>
      <c r="C12" s="18" t="s">
        <v>95</v>
      </c>
      <c r="D12" s="64">
        <v>949000</v>
      </c>
      <c r="E12" t="s">
        <v>669</v>
      </c>
      <c r="F12" t="s">
        <v>673</v>
      </c>
      <c r="G12" s="19" t="s">
        <v>96</v>
      </c>
      <c r="H12" s="19" t="s">
        <v>97</v>
      </c>
      <c r="I12" s="19" t="s">
        <v>98</v>
      </c>
      <c r="J12" s="18" t="s">
        <v>99</v>
      </c>
      <c r="K12" s="18" t="s">
        <v>100</v>
      </c>
      <c r="L12" s="11">
        <f t="shared" si="0"/>
        <v>7.9545454545454541</v>
      </c>
      <c r="M12" s="18">
        <v>8.3000000000000007</v>
      </c>
      <c r="N12" s="18">
        <v>8</v>
      </c>
      <c r="O12" s="18">
        <v>8.1999999999999993</v>
      </c>
      <c r="P12" s="18">
        <v>7.5</v>
      </c>
      <c r="Q12" s="18">
        <v>8.5</v>
      </c>
      <c r="R12" s="18">
        <v>8</v>
      </c>
      <c r="S12" s="18">
        <v>8</v>
      </c>
      <c r="T12" s="18">
        <v>8</v>
      </c>
      <c r="U12" s="18">
        <v>7.8</v>
      </c>
      <c r="V12" s="18">
        <v>7</v>
      </c>
      <c r="W12" s="18">
        <v>8.1999999999999993</v>
      </c>
      <c r="X12" s="18" t="s">
        <v>101</v>
      </c>
      <c r="Y12" s="18" t="s">
        <v>93</v>
      </c>
      <c r="Z12" s="18" t="s">
        <v>102</v>
      </c>
      <c r="AA12" s="20" t="s">
        <v>50</v>
      </c>
      <c r="AB12" s="18"/>
      <c r="AC12" s="20"/>
      <c r="AD12" s="20"/>
      <c r="AE12" s="20"/>
      <c r="AF12" s="20"/>
      <c r="AG12" s="20"/>
      <c r="AH12" s="20"/>
      <c r="AI12" s="20"/>
      <c r="AJ12" s="20"/>
      <c r="AK12" s="20"/>
      <c r="AL12" s="20"/>
      <c r="AM12" s="20"/>
      <c r="AN12" s="20"/>
      <c r="AO12" s="20"/>
      <c r="AP12" s="20"/>
      <c r="AQ12" s="20"/>
      <c r="AR12" s="20"/>
      <c r="AS12" s="20"/>
    </row>
    <row r="13" spans="1:45" ht="38.25" x14ac:dyDescent="0.35">
      <c r="A13" s="18" t="s">
        <v>73</v>
      </c>
      <c r="B13" s="18" t="s">
        <v>40</v>
      </c>
      <c r="C13" s="18" t="s">
        <v>103</v>
      </c>
      <c r="D13" s="64">
        <v>1500000</v>
      </c>
      <c r="E13" t="s">
        <v>73</v>
      </c>
      <c r="F13" t="s">
        <v>674</v>
      </c>
      <c r="G13" s="19" t="s">
        <v>104</v>
      </c>
      <c r="H13" s="19" t="s">
        <v>105</v>
      </c>
      <c r="I13" s="19" t="s">
        <v>98</v>
      </c>
      <c r="J13" s="18" t="s">
        <v>106</v>
      </c>
      <c r="K13" t="s">
        <v>704</v>
      </c>
      <c r="L13" s="11">
        <f t="shared" si="0"/>
        <v>7.8909090909090915</v>
      </c>
      <c r="M13" s="18">
        <v>8.6999999999999993</v>
      </c>
      <c r="N13" s="18">
        <v>7.8</v>
      </c>
      <c r="O13" s="18">
        <v>8.1999999999999993</v>
      </c>
      <c r="P13" s="18">
        <v>7.5</v>
      </c>
      <c r="Q13" s="18">
        <v>8.5</v>
      </c>
      <c r="R13" s="18">
        <v>7.8</v>
      </c>
      <c r="S13" s="18">
        <v>8.4</v>
      </c>
      <c r="T13" s="18">
        <v>8</v>
      </c>
      <c r="U13" s="18">
        <v>6.4</v>
      </c>
      <c r="V13" s="18">
        <v>7</v>
      </c>
      <c r="W13" s="18">
        <v>8.5</v>
      </c>
      <c r="X13" s="18" t="s">
        <v>107</v>
      </c>
      <c r="Y13" s="18" t="s">
        <v>93</v>
      </c>
      <c r="Z13" s="18" t="s">
        <v>102</v>
      </c>
      <c r="AA13" s="20" t="s">
        <v>50</v>
      </c>
      <c r="AB13" s="18"/>
      <c r="AC13" s="20"/>
      <c r="AD13" s="20"/>
      <c r="AE13" s="20"/>
      <c r="AF13" s="20"/>
      <c r="AG13" s="20"/>
      <c r="AH13" s="20"/>
      <c r="AI13" s="20"/>
      <c r="AJ13" s="20"/>
      <c r="AK13" s="20"/>
      <c r="AL13" s="20"/>
      <c r="AM13" s="20"/>
      <c r="AN13" s="20"/>
      <c r="AO13" s="20"/>
      <c r="AP13" s="20"/>
      <c r="AQ13" s="20"/>
      <c r="AR13" s="20"/>
      <c r="AS13" s="20"/>
    </row>
    <row r="14" spans="1:45" ht="38.25" x14ac:dyDescent="0.35">
      <c r="A14" s="18" t="s">
        <v>33</v>
      </c>
      <c r="B14" s="18" t="s">
        <v>33</v>
      </c>
      <c r="C14" s="18" t="s">
        <v>108</v>
      </c>
      <c r="D14" s="64">
        <v>4177000</v>
      </c>
      <c r="E14" t="s">
        <v>33</v>
      </c>
      <c r="F14" t="s">
        <v>675</v>
      </c>
      <c r="G14" s="19" t="s">
        <v>53</v>
      </c>
      <c r="H14" s="19" t="s">
        <v>109</v>
      </c>
      <c r="I14" s="19" t="s">
        <v>110</v>
      </c>
      <c r="J14" s="18" t="s">
        <v>68</v>
      </c>
      <c r="K14" s="18" t="s">
        <v>111</v>
      </c>
      <c r="L14" s="11">
        <f t="shared" si="0"/>
        <v>7.4363636363636365</v>
      </c>
      <c r="M14" s="18">
        <v>8</v>
      </c>
      <c r="N14" s="18">
        <v>7</v>
      </c>
      <c r="O14" s="18">
        <v>6.6</v>
      </c>
      <c r="P14" s="18">
        <v>7</v>
      </c>
      <c r="Q14" s="18">
        <v>8</v>
      </c>
      <c r="R14" s="18">
        <v>7.5</v>
      </c>
      <c r="S14" s="18">
        <v>7.5</v>
      </c>
      <c r="T14" s="18">
        <v>7.5</v>
      </c>
      <c r="U14" s="18">
        <v>7</v>
      </c>
      <c r="V14" s="18">
        <v>7.7</v>
      </c>
      <c r="W14" s="18">
        <v>8</v>
      </c>
      <c r="X14" s="18" t="s">
        <v>38</v>
      </c>
      <c r="Y14" s="18" t="s">
        <v>93</v>
      </c>
      <c r="Z14" s="18" t="s">
        <v>57</v>
      </c>
      <c r="AA14" s="20" t="s">
        <v>50</v>
      </c>
      <c r="AB14" s="18"/>
      <c r="AC14" s="20"/>
      <c r="AD14" s="20"/>
      <c r="AE14" s="20"/>
      <c r="AF14" s="20"/>
      <c r="AG14" s="20"/>
      <c r="AH14" s="20"/>
      <c r="AI14" s="20"/>
      <c r="AJ14" s="20"/>
      <c r="AK14" s="20"/>
      <c r="AL14" s="20"/>
      <c r="AM14" s="20"/>
      <c r="AN14" s="20"/>
      <c r="AO14" s="20"/>
      <c r="AP14" s="20"/>
      <c r="AQ14" s="20"/>
      <c r="AR14" s="20"/>
      <c r="AS14" s="20"/>
    </row>
    <row r="15" spans="1:45" ht="76.5" x14ac:dyDescent="0.35">
      <c r="A15" s="18" t="s">
        <v>33</v>
      </c>
      <c r="B15" s="18" t="s">
        <v>33</v>
      </c>
      <c r="C15" s="18" t="s">
        <v>112</v>
      </c>
      <c r="D15" s="64">
        <v>1799000</v>
      </c>
      <c r="E15" s="18" t="s">
        <v>40</v>
      </c>
      <c r="F15" s="18" t="s">
        <v>113</v>
      </c>
      <c r="G15" s="19" t="s">
        <v>31</v>
      </c>
      <c r="H15" s="19" t="s">
        <v>114</v>
      </c>
      <c r="I15" s="19" t="s">
        <v>33</v>
      </c>
      <c r="J15" s="18" t="s">
        <v>68</v>
      </c>
      <c r="K15" t="s">
        <v>705</v>
      </c>
      <c r="L15" s="11">
        <f t="shared" si="0"/>
        <v>7.9</v>
      </c>
      <c r="M15" s="18">
        <v>7.8</v>
      </c>
      <c r="N15" s="18">
        <v>8</v>
      </c>
      <c r="O15" s="18">
        <v>8</v>
      </c>
      <c r="P15" s="18">
        <v>7.1</v>
      </c>
      <c r="Q15" s="18">
        <v>9.5</v>
      </c>
      <c r="R15" s="18">
        <v>7.8</v>
      </c>
      <c r="S15" s="18">
        <v>7.9</v>
      </c>
      <c r="T15" s="18">
        <v>7.6</v>
      </c>
      <c r="U15" s="18">
        <v>7.6</v>
      </c>
      <c r="V15" s="18">
        <v>7.7</v>
      </c>
      <c r="W15" s="18">
        <v>7.9</v>
      </c>
      <c r="X15" s="18" t="s">
        <v>35</v>
      </c>
      <c r="Y15" s="18" t="s">
        <v>36</v>
      </c>
      <c r="Z15" s="18" t="s">
        <v>49</v>
      </c>
      <c r="AA15" s="20" t="s">
        <v>38</v>
      </c>
      <c r="AB15" s="18" t="s">
        <v>39</v>
      </c>
      <c r="AC15" s="20"/>
      <c r="AD15" s="20"/>
      <c r="AE15" s="20"/>
      <c r="AF15" s="20"/>
      <c r="AG15" s="20"/>
      <c r="AH15" s="20"/>
      <c r="AI15" s="20"/>
      <c r="AJ15" s="20"/>
      <c r="AK15" s="20"/>
      <c r="AL15" s="20"/>
      <c r="AM15" s="20"/>
      <c r="AN15" s="20"/>
      <c r="AO15" s="20"/>
      <c r="AP15" s="20"/>
      <c r="AQ15" s="20"/>
      <c r="AR15" s="20"/>
      <c r="AS15" s="20"/>
    </row>
    <row r="16" spans="1:45" ht="102" x14ac:dyDescent="0.35">
      <c r="A16" s="18" t="s">
        <v>33</v>
      </c>
      <c r="B16" s="18" t="s">
        <v>33</v>
      </c>
      <c r="C16" s="18" t="s">
        <v>115</v>
      </c>
      <c r="D16" s="66">
        <v>1600000</v>
      </c>
      <c r="E16" s="18" t="s">
        <v>70</v>
      </c>
      <c r="F16" s="59" t="s">
        <v>747</v>
      </c>
      <c r="G16" s="19" t="s">
        <v>60</v>
      </c>
      <c r="H16" s="19" t="s">
        <v>116</v>
      </c>
      <c r="I16" s="19" t="s">
        <v>33</v>
      </c>
      <c r="J16" s="18" t="s">
        <v>47</v>
      </c>
      <c r="K16" s="18"/>
      <c r="L16" s="11">
        <f t="shared" si="0"/>
        <v>7.581818181818182</v>
      </c>
      <c r="M16" s="18">
        <v>8.5</v>
      </c>
      <c r="N16" s="18">
        <v>8</v>
      </c>
      <c r="O16" s="18">
        <v>7.2</v>
      </c>
      <c r="P16" s="18">
        <v>7</v>
      </c>
      <c r="Q16" s="18">
        <v>8.5</v>
      </c>
      <c r="R16" s="18">
        <v>7.5</v>
      </c>
      <c r="S16" s="18">
        <v>7.5</v>
      </c>
      <c r="T16" s="18">
        <v>7.6</v>
      </c>
      <c r="U16" s="18">
        <v>7</v>
      </c>
      <c r="V16" s="18">
        <v>7</v>
      </c>
      <c r="W16" s="18">
        <v>7.6</v>
      </c>
      <c r="X16" s="18" t="s">
        <v>55</v>
      </c>
      <c r="Y16" s="18" t="s">
        <v>117</v>
      </c>
      <c r="Z16" s="18" t="s">
        <v>57</v>
      </c>
      <c r="AA16" s="20" t="s">
        <v>50</v>
      </c>
      <c r="AB16" s="18"/>
      <c r="AC16" s="20"/>
      <c r="AD16" s="20"/>
      <c r="AE16" s="20"/>
      <c r="AF16" s="20"/>
      <c r="AG16" s="20"/>
      <c r="AH16" s="20"/>
      <c r="AI16" s="20"/>
      <c r="AJ16" s="20"/>
      <c r="AK16" s="20"/>
      <c r="AL16" s="20"/>
      <c r="AM16" s="20"/>
      <c r="AN16" s="20"/>
      <c r="AO16" s="20"/>
      <c r="AP16" s="20"/>
      <c r="AQ16" s="20"/>
      <c r="AR16" s="20"/>
      <c r="AS16" s="20"/>
    </row>
    <row r="17" spans="1:45" ht="89.25" x14ac:dyDescent="0.35">
      <c r="A17" s="18" t="s">
        <v>33</v>
      </c>
      <c r="B17" s="18" t="s">
        <v>77</v>
      </c>
      <c r="C17" s="18" t="s">
        <v>118</v>
      </c>
      <c r="D17" s="64">
        <v>1500000</v>
      </c>
      <c r="E17" s="18" t="s">
        <v>40</v>
      </c>
      <c r="F17" s="18" t="s">
        <v>119</v>
      </c>
      <c r="G17" s="19" t="s">
        <v>66</v>
      </c>
      <c r="H17" s="19" t="s">
        <v>120</v>
      </c>
      <c r="I17" s="19" t="s">
        <v>121</v>
      </c>
      <c r="J17" s="18" t="s">
        <v>47</v>
      </c>
      <c r="K17" s="18" t="s">
        <v>122</v>
      </c>
      <c r="L17" s="11">
        <f t="shared" si="0"/>
        <v>7.4818181818181815</v>
      </c>
      <c r="M17" s="18">
        <v>7.5</v>
      </c>
      <c r="N17" s="18">
        <v>7</v>
      </c>
      <c r="O17" s="18">
        <v>8.5</v>
      </c>
      <c r="P17" s="18">
        <v>6.5</v>
      </c>
      <c r="Q17" s="18">
        <v>8</v>
      </c>
      <c r="R17" s="18">
        <v>7</v>
      </c>
      <c r="S17" s="18">
        <v>7</v>
      </c>
      <c r="T17" s="18">
        <v>7</v>
      </c>
      <c r="U17" s="18">
        <v>7</v>
      </c>
      <c r="V17" s="18">
        <v>7.8</v>
      </c>
      <c r="W17" s="18">
        <v>9</v>
      </c>
      <c r="X17" s="18" t="s">
        <v>123</v>
      </c>
      <c r="Y17" s="18" t="s">
        <v>93</v>
      </c>
      <c r="Z17" s="18" t="s">
        <v>124</v>
      </c>
      <c r="AA17" s="20" t="s">
        <v>50</v>
      </c>
      <c r="AB17" s="18"/>
      <c r="AC17" s="20"/>
      <c r="AD17" s="20"/>
      <c r="AE17" s="20"/>
      <c r="AF17" s="20"/>
      <c r="AG17" s="20"/>
      <c r="AH17" s="20"/>
      <c r="AI17" s="20"/>
      <c r="AJ17" s="20"/>
      <c r="AK17" s="20"/>
      <c r="AL17" s="20"/>
      <c r="AM17" s="20"/>
      <c r="AN17" s="20"/>
      <c r="AO17" s="20"/>
      <c r="AP17" s="20"/>
      <c r="AQ17" s="20"/>
      <c r="AR17" s="20"/>
      <c r="AS17" s="20"/>
    </row>
    <row r="18" spans="1:45" ht="76.5" x14ac:dyDescent="0.35">
      <c r="A18" s="18" t="s">
        <v>33</v>
      </c>
      <c r="B18" s="18" t="s">
        <v>29</v>
      </c>
      <c r="C18" s="18" t="s">
        <v>125</v>
      </c>
      <c r="D18" s="64">
        <v>589000</v>
      </c>
      <c r="E18" t="s">
        <v>77</v>
      </c>
      <c r="F18" t="s">
        <v>676</v>
      </c>
      <c r="G18" s="19" t="s">
        <v>66</v>
      </c>
      <c r="H18" s="19" t="s">
        <v>126</v>
      </c>
      <c r="I18" s="19" t="s">
        <v>127</v>
      </c>
      <c r="J18" s="18" t="s">
        <v>128</v>
      </c>
      <c r="K18" s="18" t="s">
        <v>100</v>
      </c>
      <c r="L18" s="11">
        <f t="shared" si="0"/>
        <v>7.8636363636363633</v>
      </c>
      <c r="M18" s="18">
        <v>8.3000000000000007</v>
      </c>
      <c r="N18" s="18">
        <v>8</v>
      </c>
      <c r="O18" s="18">
        <v>8.1999999999999993</v>
      </c>
      <c r="P18" s="18">
        <v>7.2</v>
      </c>
      <c r="Q18" s="18">
        <v>8.5</v>
      </c>
      <c r="R18" s="18">
        <v>7.8</v>
      </c>
      <c r="S18" s="18">
        <v>8</v>
      </c>
      <c r="T18" s="18">
        <v>8</v>
      </c>
      <c r="U18" s="18">
        <v>7.6</v>
      </c>
      <c r="V18" s="18">
        <v>7</v>
      </c>
      <c r="W18" s="18">
        <v>7.9</v>
      </c>
      <c r="X18" s="18" t="s">
        <v>101</v>
      </c>
      <c r="Y18" s="18" t="s">
        <v>129</v>
      </c>
      <c r="Z18" s="18" t="s">
        <v>102</v>
      </c>
      <c r="AA18" s="20" t="s">
        <v>50</v>
      </c>
      <c r="AB18" s="18"/>
      <c r="AC18" s="20"/>
      <c r="AD18" s="20"/>
      <c r="AE18" s="20"/>
      <c r="AF18" s="20"/>
      <c r="AG18" s="20"/>
      <c r="AH18" s="20"/>
      <c r="AI18" s="20"/>
      <c r="AJ18" s="20"/>
      <c r="AK18" s="20"/>
      <c r="AL18" s="20"/>
      <c r="AM18" s="20"/>
      <c r="AN18" s="20"/>
      <c r="AO18" s="20"/>
      <c r="AP18" s="20"/>
      <c r="AQ18" s="20"/>
      <c r="AR18" s="20"/>
      <c r="AS18" s="20"/>
    </row>
    <row r="19" spans="1:45" ht="25.5" x14ac:dyDescent="0.35">
      <c r="A19" s="18" t="s">
        <v>33</v>
      </c>
      <c r="B19" s="18" t="s">
        <v>33</v>
      </c>
      <c r="C19" s="18" t="s">
        <v>130</v>
      </c>
      <c r="D19" s="64">
        <v>879000</v>
      </c>
      <c r="E19" t="s">
        <v>59</v>
      </c>
      <c r="F19" t="s">
        <v>677</v>
      </c>
      <c r="G19" s="19" t="s">
        <v>53</v>
      </c>
      <c r="H19" s="19" t="s">
        <v>131</v>
      </c>
      <c r="I19" s="19" t="s">
        <v>132</v>
      </c>
      <c r="J19" s="18" t="s">
        <v>133</v>
      </c>
      <c r="K19" t="s">
        <v>706</v>
      </c>
      <c r="L19" s="11">
        <f t="shared" si="0"/>
        <v>7.8272727272727272</v>
      </c>
      <c r="M19" s="18">
        <v>8.5</v>
      </c>
      <c r="N19" s="18">
        <v>8</v>
      </c>
      <c r="O19" s="18">
        <v>8</v>
      </c>
      <c r="P19" s="18">
        <v>7.4</v>
      </c>
      <c r="Q19" s="18">
        <v>8.5</v>
      </c>
      <c r="R19" s="18">
        <v>7.8</v>
      </c>
      <c r="S19" s="18">
        <v>8</v>
      </c>
      <c r="T19" s="18">
        <v>8</v>
      </c>
      <c r="U19" s="18">
        <v>7</v>
      </c>
      <c r="V19" s="18">
        <v>7</v>
      </c>
      <c r="W19" s="18">
        <v>7.9</v>
      </c>
      <c r="X19" s="18" t="s">
        <v>107</v>
      </c>
      <c r="Y19" s="18" t="s">
        <v>93</v>
      </c>
      <c r="Z19" s="18" t="s">
        <v>57</v>
      </c>
      <c r="AA19" s="20" t="s">
        <v>50</v>
      </c>
      <c r="AB19" t="s">
        <v>134</v>
      </c>
      <c r="AC19" s="20"/>
      <c r="AD19" s="20"/>
      <c r="AE19" s="20"/>
      <c r="AF19" s="20"/>
      <c r="AG19" s="20"/>
      <c r="AH19" s="20"/>
      <c r="AI19" s="20"/>
      <c r="AJ19" s="20"/>
      <c r="AK19" s="20"/>
      <c r="AL19" s="20"/>
      <c r="AM19" s="20"/>
      <c r="AN19" s="20"/>
      <c r="AO19" s="20"/>
      <c r="AP19" s="20"/>
      <c r="AQ19" s="20"/>
      <c r="AR19" s="20"/>
      <c r="AS19" s="20"/>
    </row>
    <row r="20" spans="1:45" ht="89.25" x14ac:dyDescent="0.35">
      <c r="A20" s="18" t="s">
        <v>77</v>
      </c>
      <c r="B20" s="18" t="s">
        <v>77</v>
      </c>
      <c r="C20" s="18" t="s">
        <v>135</v>
      </c>
      <c r="D20" s="64">
        <v>970000</v>
      </c>
      <c r="E20" t="s">
        <v>33</v>
      </c>
      <c r="F20" t="s">
        <v>678</v>
      </c>
      <c r="G20" s="19" t="s">
        <v>71</v>
      </c>
      <c r="H20" s="19" t="s">
        <v>136</v>
      </c>
      <c r="I20" s="19" t="s">
        <v>137</v>
      </c>
      <c r="J20" s="18" t="s">
        <v>138</v>
      </c>
      <c r="K20" s="18" t="s">
        <v>139</v>
      </c>
      <c r="L20" s="11">
        <f t="shared" si="0"/>
        <v>7.709090909090909</v>
      </c>
      <c r="M20" s="18">
        <v>8.5</v>
      </c>
      <c r="N20" s="18">
        <v>8</v>
      </c>
      <c r="O20" s="18">
        <v>8</v>
      </c>
      <c r="P20" s="18">
        <v>7.5</v>
      </c>
      <c r="Q20" s="18">
        <v>8.5</v>
      </c>
      <c r="R20" s="18">
        <v>7</v>
      </c>
      <c r="S20" s="18">
        <v>7.5</v>
      </c>
      <c r="T20" s="18">
        <v>7.8</v>
      </c>
      <c r="U20" s="18">
        <v>6.5</v>
      </c>
      <c r="V20" s="18">
        <v>7</v>
      </c>
      <c r="W20" s="18">
        <v>8.5</v>
      </c>
      <c r="X20" s="18" t="s">
        <v>48</v>
      </c>
      <c r="Y20" s="18" t="s">
        <v>140</v>
      </c>
      <c r="Z20" s="18" t="s">
        <v>79</v>
      </c>
      <c r="AA20" s="20" t="s">
        <v>50</v>
      </c>
      <c r="AB20" s="18"/>
      <c r="AC20" s="20"/>
      <c r="AD20" s="20"/>
      <c r="AE20" s="20"/>
      <c r="AF20" s="20"/>
      <c r="AG20" s="20"/>
      <c r="AH20" s="20"/>
      <c r="AI20" s="20"/>
      <c r="AJ20" s="20"/>
      <c r="AK20" s="20"/>
      <c r="AL20" s="20"/>
      <c r="AM20" s="20"/>
      <c r="AN20" s="20"/>
      <c r="AO20" s="20"/>
      <c r="AP20" s="20"/>
      <c r="AQ20" s="20"/>
      <c r="AR20" s="20"/>
      <c r="AS20" s="20"/>
    </row>
    <row r="21" spans="1:45" ht="38.25" x14ac:dyDescent="0.35">
      <c r="A21" s="18" t="s">
        <v>77</v>
      </c>
      <c r="B21" s="18" t="s">
        <v>33</v>
      </c>
      <c r="C21" s="18" t="s">
        <v>141</v>
      </c>
      <c r="D21" s="65" t="s">
        <v>650</v>
      </c>
      <c r="E21" t="s">
        <v>33</v>
      </c>
      <c r="F21" t="s">
        <v>679</v>
      </c>
      <c r="G21" s="19" t="s">
        <v>71</v>
      </c>
      <c r="H21" s="19" t="s">
        <v>142</v>
      </c>
      <c r="I21" s="19" t="s">
        <v>137</v>
      </c>
      <c r="J21" s="18" t="s">
        <v>143</v>
      </c>
      <c r="K21" t="s">
        <v>707</v>
      </c>
      <c r="L21" s="11">
        <f t="shared" si="0"/>
        <v>7.4545454545454541</v>
      </c>
      <c r="M21" s="18">
        <v>8</v>
      </c>
      <c r="N21" s="18">
        <v>7</v>
      </c>
      <c r="O21" s="18">
        <v>7</v>
      </c>
      <c r="P21" s="18">
        <v>7</v>
      </c>
      <c r="Q21" s="18">
        <v>8</v>
      </c>
      <c r="R21" s="18">
        <v>8</v>
      </c>
      <c r="S21" s="18">
        <v>7.5</v>
      </c>
      <c r="T21" s="18">
        <v>7.5</v>
      </c>
      <c r="U21" s="18">
        <v>7</v>
      </c>
      <c r="V21" s="18">
        <v>7</v>
      </c>
      <c r="W21" s="18">
        <v>8</v>
      </c>
      <c r="X21" s="18" t="s">
        <v>48</v>
      </c>
      <c r="Y21" s="18" t="s">
        <v>144</v>
      </c>
      <c r="Z21" s="18" t="s">
        <v>57</v>
      </c>
      <c r="AA21" s="20" t="s">
        <v>50</v>
      </c>
      <c r="AB21" s="18"/>
      <c r="AC21" s="20"/>
      <c r="AD21" s="20"/>
      <c r="AE21" s="20"/>
      <c r="AF21" s="20"/>
      <c r="AG21" s="20"/>
      <c r="AH21" s="20"/>
      <c r="AI21" s="20"/>
      <c r="AJ21" s="20"/>
      <c r="AK21" s="20"/>
      <c r="AL21" s="20"/>
      <c r="AM21" s="20"/>
      <c r="AN21" s="20"/>
      <c r="AO21" s="20"/>
      <c r="AP21" s="20"/>
      <c r="AQ21" s="20"/>
      <c r="AR21" s="20"/>
      <c r="AS21" s="20"/>
    </row>
    <row r="22" spans="1:45" ht="38.25" x14ac:dyDescent="0.35">
      <c r="A22" s="18" t="s">
        <v>70</v>
      </c>
      <c r="B22" s="18" t="s">
        <v>59</v>
      </c>
      <c r="C22" s="18" t="s">
        <v>145</v>
      </c>
      <c r="D22" s="65" t="s">
        <v>651</v>
      </c>
      <c r="E22" t="s">
        <v>59</v>
      </c>
      <c r="F22" t="s">
        <v>680</v>
      </c>
      <c r="G22" s="19" t="s">
        <v>71</v>
      </c>
      <c r="H22" s="19" t="s">
        <v>146</v>
      </c>
      <c r="I22" s="19" t="s">
        <v>147</v>
      </c>
      <c r="J22" s="18" t="s">
        <v>47</v>
      </c>
      <c r="K22" t="s">
        <v>708</v>
      </c>
      <c r="L22" s="11">
        <f t="shared" si="0"/>
        <v>7.1818181818181817</v>
      </c>
      <c r="M22" s="19">
        <v>7</v>
      </c>
      <c r="N22" s="19">
        <v>7</v>
      </c>
      <c r="O22" s="19">
        <v>7.5</v>
      </c>
      <c r="P22" s="19">
        <v>7</v>
      </c>
      <c r="Q22" s="19">
        <v>7.5</v>
      </c>
      <c r="R22" s="19">
        <v>7</v>
      </c>
      <c r="S22" s="19">
        <v>7.5</v>
      </c>
      <c r="T22" s="19">
        <v>7</v>
      </c>
      <c r="U22" s="19">
        <v>7</v>
      </c>
      <c r="V22" s="19">
        <v>7</v>
      </c>
      <c r="W22" s="19">
        <v>7.5</v>
      </c>
      <c r="X22" s="19" t="s">
        <v>38</v>
      </c>
      <c r="Y22" s="18" t="s">
        <v>148</v>
      </c>
      <c r="Z22" s="19" t="s">
        <v>149</v>
      </c>
      <c r="AA22" s="20" t="s">
        <v>50</v>
      </c>
      <c r="AB22" t="s">
        <v>150</v>
      </c>
      <c r="AC22" s="20"/>
      <c r="AD22" s="20"/>
      <c r="AE22" s="20"/>
      <c r="AF22" s="20"/>
      <c r="AG22" s="20"/>
      <c r="AH22" s="20"/>
      <c r="AI22" s="20"/>
      <c r="AJ22" s="20"/>
      <c r="AK22" s="20"/>
      <c r="AL22" s="20"/>
      <c r="AM22" s="20"/>
      <c r="AN22" s="20"/>
      <c r="AO22" s="20"/>
      <c r="AP22" s="20"/>
      <c r="AQ22" s="20"/>
      <c r="AR22" s="20"/>
      <c r="AS22" s="20"/>
    </row>
    <row r="23" spans="1:45" ht="63.75" hidden="1" x14ac:dyDescent="0.35">
      <c r="A23" s="18" t="s">
        <v>40</v>
      </c>
      <c r="B23" s="18" t="s">
        <v>40</v>
      </c>
      <c r="C23" s="18" t="s">
        <v>151</v>
      </c>
      <c r="D23" s="64">
        <v>2670000</v>
      </c>
      <c r="E23" t="s">
        <v>152</v>
      </c>
      <c r="F23" s="18" t="s">
        <v>153</v>
      </c>
      <c r="G23" s="19" t="s">
        <v>66</v>
      </c>
      <c r="H23" s="19" t="s">
        <v>154</v>
      </c>
      <c r="I23" s="19" t="s">
        <v>46</v>
      </c>
      <c r="J23" s="18" t="s">
        <v>47</v>
      </c>
      <c r="K23" t="s">
        <v>709</v>
      </c>
      <c r="L23" s="11">
        <f>SUM(M23:W23)/9</f>
        <v>6.5555555555555554</v>
      </c>
      <c r="M23" s="18">
        <v>9</v>
      </c>
      <c r="N23" s="18">
        <v>9</v>
      </c>
      <c r="O23" s="18">
        <v>8</v>
      </c>
      <c r="P23" s="18">
        <v>8</v>
      </c>
      <c r="Q23" s="18">
        <v>8</v>
      </c>
      <c r="R23" s="18">
        <v>8.5</v>
      </c>
      <c r="S23" s="18"/>
      <c r="T23" s="18"/>
      <c r="U23" s="18"/>
      <c r="V23" s="18"/>
      <c r="W23" s="18">
        <v>8.5</v>
      </c>
      <c r="X23" s="18" t="s">
        <v>38</v>
      </c>
      <c r="Y23" s="18" t="s">
        <v>155</v>
      </c>
      <c r="Z23" s="18" t="s">
        <v>57</v>
      </c>
      <c r="AA23" s="20" t="s">
        <v>50</v>
      </c>
      <c r="AB23" t="s">
        <v>710</v>
      </c>
      <c r="AC23" s="20"/>
      <c r="AD23" s="20"/>
      <c r="AE23" s="20"/>
      <c r="AF23" s="20"/>
      <c r="AG23" s="20"/>
      <c r="AH23" s="20"/>
      <c r="AI23" s="20"/>
      <c r="AJ23" s="20"/>
      <c r="AK23" s="20"/>
      <c r="AL23" s="20"/>
      <c r="AM23" s="20"/>
      <c r="AN23" s="20"/>
      <c r="AO23" s="20"/>
      <c r="AP23" s="20"/>
      <c r="AQ23" s="20"/>
      <c r="AR23" s="20"/>
      <c r="AS23" s="20"/>
    </row>
    <row r="24" spans="1:45" ht="25.5" x14ac:dyDescent="0.35">
      <c r="A24" s="18" t="s">
        <v>59</v>
      </c>
      <c r="B24" s="18" t="s">
        <v>77</v>
      </c>
      <c r="C24" s="18" t="s">
        <v>156</v>
      </c>
      <c r="D24" s="64">
        <v>999000</v>
      </c>
      <c r="E24" t="s">
        <v>40</v>
      </c>
      <c r="F24" t="s">
        <v>681</v>
      </c>
      <c r="G24" s="19" t="s">
        <v>71</v>
      </c>
      <c r="H24" s="19" t="s">
        <v>157</v>
      </c>
      <c r="I24" s="19" t="s">
        <v>158</v>
      </c>
      <c r="J24" s="18" t="s">
        <v>159</v>
      </c>
      <c r="K24" t="s">
        <v>711</v>
      </c>
      <c r="L24" s="11">
        <f>SUM(M24:W24)/11</f>
        <v>7.3227272727272723</v>
      </c>
      <c r="M24" s="18">
        <v>7.8</v>
      </c>
      <c r="N24" s="18">
        <v>7</v>
      </c>
      <c r="O24" s="18">
        <v>7</v>
      </c>
      <c r="P24" s="18">
        <v>7</v>
      </c>
      <c r="Q24" s="18">
        <v>8</v>
      </c>
      <c r="R24" s="18">
        <v>7.65</v>
      </c>
      <c r="S24" s="18">
        <v>6.8</v>
      </c>
      <c r="T24" s="18">
        <v>7.5</v>
      </c>
      <c r="U24" s="18">
        <v>6.8</v>
      </c>
      <c r="V24" s="18">
        <v>7</v>
      </c>
      <c r="W24" s="18">
        <v>8</v>
      </c>
      <c r="X24" s="19"/>
      <c r="Y24" s="18" t="s">
        <v>36</v>
      </c>
      <c r="Z24" s="18" t="s">
        <v>79</v>
      </c>
      <c r="AA24" s="20"/>
      <c r="AB24" s="21"/>
      <c r="AC24" s="20"/>
      <c r="AD24" s="20"/>
      <c r="AE24" s="20"/>
      <c r="AF24" s="20"/>
      <c r="AG24" s="20"/>
      <c r="AH24" s="20"/>
      <c r="AI24" s="20"/>
      <c r="AJ24" s="20"/>
      <c r="AK24" s="20"/>
      <c r="AL24" s="20"/>
      <c r="AM24" s="20"/>
      <c r="AN24" s="20"/>
      <c r="AO24" s="20"/>
      <c r="AP24" s="20"/>
      <c r="AQ24" s="20"/>
      <c r="AR24" s="20"/>
      <c r="AS24" s="20"/>
    </row>
    <row r="25" spans="1:45" ht="12.75" x14ac:dyDescent="0.35">
      <c r="A25" s="18" t="s">
        <v>160</v>
      </c>
      <c r="B25" s="18" t="s">
        <v>160</v>
      </c>
      <c r="C25" s="18" t="s">
        <v>161</v>
      </c>
      <c r="D25" s="66"/>
      <c r="E25" s="19"/>
      <c r="F25" s="18"/>
      <c r="G25" s="19"/>
      <c r="H25" s="19"/>
      <c r="I25" s="19"/>
      <c r="J25" s="18"/>
      <c r="K25" s="18"/>
      <c r="L25" s="11"/>
      <c r="M25" s="18"/>
      <c r="N25" s="18"/>
      <c r="O25" s="18"/>
      <c r="P25" s="18"/>
      <c r="Q25" s="18"/>
      <c r="R25" s="18"/>
      <c r="S25" s="18"/>
      <c r="T25" s="18"/>
      <c r="U25" s="18"/>
      <c r="V25" s="18"/>
      <c r="W25" s="18"/>
      <c r="X25" s="19"/>
      <c r="Y25" s="18"/>
      <c r="Z25" s="18"/>
      <c r="AA25" s="20"/>
      <c r="AB25" s="21"/>
      <c r="AC25" s="20"/>
      <c r="AD25" s="20"/>
      <c r="AE25" s="20"/>
      <c r="AF25" s="20"/>
      <c r="AG25" s="20"/>
      <c r="AH25" s="20"/>
      <c r="AI25" s="20"/>
      <c r="AJ25" s="20"/>
      <c r="AK25" s="20"/>
      <c r="AL25" s="20"/>
      <c r="AM25" s="20"/>
      <c r="AN25" s="20"/>
      <c r="AO25" s="20"/>
      <c r="AP25" s="20"/>
      <c r="AQ25" s="20"/>
      <c r="AR25" s="20"/>
      <c r="AS25" s="20"/>
    </row>
    <row r="26" spans="1:45" ht="63.75" x14ac:dyDescent="0.35">
      <c r="A26" s="18" t="s">
        <v>59</v>
      </c>
      <c r="B26" s="18" t="s">
        <v>33</v>
      </c>
      <c r="C26" s="18" t="s">
        <v>162</v>
      </c>
      <c r="D26" s="64">
        <v>949000</v>
      </c>
      <c r="E26" t="s">
        <v>73</v>
      </c>
      <c r="F26" s="18" t="s">
        <v>163</v>
      </c>
      <c r="G26" s="19" t="s">
        <v>66</v>
      </c>
      <c r="H26" s="19" t="s">
        <v>164</v>
      </c>
      <c r="I26" s="19" t="s">
        <v>165</v>
      </c>
      <c r="J26" s="18" t="s">
        <v>68</v>
      </c>
      <c r="K26" s="18" t="s">
        <v>166</v>
      </c>
      <c r="L26" s="11">
        <f t="shared" ref="L26:L102" si="1">SUM(M26:W26)/11</f>
        <v>7.4272727272727277</v>
      </c>
      <c r="M26" s="18">
        <v>8</v>
      </c>
      <c r="N26" s="18">
        <v>8</v>
      </c>
      <c r="O26" s="18">
        <v>7</v>
      </c>
      <c r="P26" s="18">
        <v>7.5</v>
      </c>
      <c r="Q26" s="18">
        <v>7.7</v>
      </c>
      <c r="R26" s="18">
        <v>7</v>
      </c>
      <c r="S26" s="18">
        <v>7</v>
      </c>
      <c r="T26" s="18">
        <v>7</v>
      </c>
      <c r="U26" s="18">
        <v>7</v>
      </c>
      <c r="V26" s="18">
        <v>7</v>
      </c>
      <c r="W26" s="18">
        <v>8.5</v>
      </c>
      <c r="X26" s="19" t="s">
        <v>48</v>
      </c>
      <c r="Y26" s="18" t="s">
        <v>36</v>
      </c>
      <c r="Z26" s="18" t="s">
        <v>79</v>
      </c>
      <c r="AA26" s="20" t="s">
        <v>50</v>
      </c>
      <c r="AB26" s="21"/>
      <c r="AC26" s="20"/>
      <c r="AD26" s="20"/>
      <c r="AE26" s="20"/>
      <c r="AF26" s="20"/>
      <c r="AG26" s="20"/>
      <c r="AH26" s="20"/>
      <c r="AI26" s="20"/>
      <c r="AJ26" s="20"/>
      <c r="AK26" s="20"/>
      <c r="AL26" s="20"/>
      <c r="AM26" s="20"/>
      <c r="AN26" s="20"/>
      <c r="AO26" s="20"/>
      <c r="AP26" s="20"/>
      <c r="AQ26" s="20"/>
      <c r="AR26" s="20"/>
      <c r="AS26" s="20"/>
    </row>
    <row r="27" spans="1:45" ht="76.5" x14ac:dyDescent="0.35">
      <c r="A27" s="18" t="s">
        <v>167</v>
      </c>
      <c r="B27" s="18" t="s">
        <v>40</v>
      </c>
      <c r="C27" s="18" t="s">
        <v>168</v>
      </c>
      <c r="D27" s="64">
        <v>470000</v>
      </c>
      <c r="E27" t="s">
        <v>33</v>
      </c>
      <c r="F27" t="s">
        <v>682</v>
      </c>
      <c r="G27" s="19" t="s">
        <v>60</v>
      </c>
      <c r="H27" s="19" t="s">
        <v>169</v>
      </c>
      <c r="I27" s="19" t="s">
        <v>170</v>
      </c>
      <c r="J27" s="18" t="s">
        <v>171</v>
      </c>
      <c r="K27" t="s">
        <v>712</v>
      </c>
      <c r="L27" s="11">
        <f t="shared" si="1"/>
        <v>7.4272727272727277</v>
      </c>
      <c r="M27" s="19">
        <v>7.2</v>
      </c>
      <c r="N27" s="19">
        <v>7.4</v>
      </c>
      <c r="O27" s="19">
        <v>8</v>
      </c>
      <c r="P27" s="19">
        <v>7.4</v>
      </c>
      <c r="Q27" s="19">
        <v>8</v>
      </c>
      <c r="R27" s="19">
        <v>7</v>
      </c>
      <c r="S27" s="19">
        <v>7</v>
      </c>
      <c r="T27" s="19">
        <v>7.7</v>
      </c>
      <c r="U27" s="19">
        <v>8</v>
      </c>
      <c r="V27" s="19">
        <v>7</v>
      </c>
      <c r="W27" s="19">
        <v>7</v>
      </c>
      <c r="X27" s="19" t="s">
        <v>107</v>
      </c>
      <c r="Y27" s="18" t="s">
        <v>117</v>
      </c>
      <c r="Z27" s="18" t="s">
        <v>172</v>
      </c>
      <c r="AA27" s="20" t="s">
        <v>50</v>
      </c>
      <c r="AB27" s="21"/>
      <c r="AC27" s="20"/>
      <c r="AD27" s="20"/>
      <c r="AE27" s="20"/>
      <c r="AF27" s="20"/>
      <c r="AG27" s="20"/>
      <c r="AH27" s="20"/>
      <c r="AI27" s="20"/>
      <c r="AJ27" s="20"/>
      <c r="AK27" s="20"/>
      <c r="AL27" s="20"/>
      <c r="AM27" s="20"/>
      <c r="AN27" s="20"/>
      <c r="AO27" s="20"/>
      <c r="AP27" s="20"/>
      <c r="AQ27" s="20"/>
      <c r="AR27" s="20"/>
      <c r="AS27" s="20"/>
    </row>
    <row r="28" spans="1:45" ht="38.25" x14ac:dyDescent="0.35">
      <c r="A28" s="18" t="s">
        <v>59</v>
      </c>
      <c r="B28" s="18" t="s">
        <v>59</v>
      </c>
      <c r="C28" s="18" t="s">
        <v>173</v>
      </c>
      <c r="D28" s="64">
        <v>1200000</v>
      </c>
      <c r="E28" t="s">
        <v>33</v>
      </c>
      <c r="F28" t="s">
        <v>683</v>
      </c>
      <c r="G28" s="19" t="s">
        <v>66</v>
      </c>
      <c r="H28" s="19" t="s">
        <v>174</v>
      </c>
      <c r="I28" s="19" t="s">
        <v>70</v>
      </c>
      <c r="J28" s="18" t="s">
        <v>143</v>
      </c>
      <c r="K28" t="s">
        <v>713</v>
      </c>
      <c r="L28" s="11">
        <f t="shared" si="1"/>
        <v>7.2181818181818187</v>
      </c>
      <c r="M28" s="18">
        <v>7</v>
      </c>
      <c r="N28" s="18">
        <v>6</v>
      </c>
      <c r="O28" s="18">
        <v>7</v>
      </c>
      <c r="P28" s="18">
        <v>7</v>
      </c>
      <c r="Q28" s="18">
        <v>7.4</v>
      </c>
      <c r="R28" s="18">
        <v>8</v>
      </c>
      <c r="S28" s="18">
        <v>7.5</v>
      </c>
      <c r="T28" s="18">
        <v>7.5</v>
      </c>
      <c r="U28" s="18">
        <v>7</v>
      </c>
      <c r="V28" s="18">
        <v>7</v>
      </c>
      <c r="W28" s="18">
        <v>8</v>
      </c>
      <c r="X28" s="19" t="s">
        <v>48</v>
      </c>
      <c r="Y28" s="18" t="s">
        <v>175</v>
      </c>
      <c r="Z28" s="18" t="s">
        <v>124</v>
      </c>
      <c r="AA28" s="20" t="s">
        <v>48</v>
      </c>
      <c r="AB28" s="21" t="s">
        <v>176</v>
      </c>
      <c r="AC28" s="20"/>
      <c r="AD28" s="20"/>
      <c r="AE28" s="20"/>
      <c r="AF28" s="20"/>
      <c r="AG28" s="20"/>
      <c r="AH28" s="20"/>
      <c r="AI28" s="20"/>
      <c r="AJ28" s="20"/>
      <c r="AK28" s="20"/>
      <c r="AL28" s="20"/>
      <c r="AM28" s="20"/>
      <c r="AN28" s="20"/>
      <c r="AO28" s="20"/>
      <c r="AP28" s="20"/>
      <c r="AQ28" s="20"/>
      <c r="AR28" s="20"/>
      <c r="AS28" s="20"/>
    </row>
    <row r="29" spans="1:45" ht="63.75" x14ac:dyDescent="0.35">
      <c r="A29" s="18" t="s">
        <v>167</v>
      </c>
      <c r="B29" s="18" t="s">
        <v>40</v>
      </c>
      <c r="C29" s="18" t="s">
        <v>177</v>
      </c>
      <c r="D29" s="64">
        <v>569000</v>
      </c>
      <c r="E29" t="s">
        <v>40</v>
      </c>
      <c r="F29" t="s">
        <v>684</v>
      </c>
      <c r="G29" s="19" t="s">
        <v>66</v>
      </c>
      <c r="H29" s="19" t="s">
        <v>178</v>
      </c>
      <c r="I29" s="19" t="s">
        <v>38</v>
      </c>
      <c r="J29" s="18" t="s">
        <v>38</v>
      </c>
      <c r="K29" t="s">
        <v>711</v>
      </c>
      <c r="L29" s="11">
        <f t="shared" si="1"/>
        <v>7.3545454545454554</v>
      </c>
      <c r="M29" s="19">
        <v>7.2</v>
      </c>
      <c r="N29" s="19">
        <v>7</v>
      </c>
      <c r="O29" s="19">
        <v>7.8</v>
      </c>
      <c r="P29" s="19">
        <v>7</v>
      </c>
      <c r="Q29" s="19">
        <v>8</v>
      </c>
      <c r="R29" s="19">
        <v>7.2</v>
      </c>
      <c r="S29" s="19">
        <v>7.2</v>
      </c>
      <c r="T29" s="19">
        <v>7.8</v>
      </c>
      <c r="U29" s="19">
        <v>7.7</v>
      </c>
      <c r="V29" s="19">
        <v>7</v>
      </c>
      <c r="W29" s="19">
        <v>7</v>
      </c>
      <c r="X29" s="19" t="s">
        <v>107</v>
      </c>
      <c r="Y29" s="18" t="s">
        <v>179</v>
      </c>
      <c r="Z29" s="18" t="s">
        <v>180</v>
      </c>
      <c r="AA29" s="20" t="s">
        <v>50</v>
      </c>
      <c r="AB29" s="21"/>
      <c r="AC29" s="20"/>
      <c r="AD29" s="20"/>
      <c r="AE29" s="20"/>
      <c r="AF29" s="20"/>
      <c r="AG29" s="20"/>
      <c r="AH29" s="20"/>
      <c r="AI29" s="20"/>
      <c r="AJ29" s="20"/>
      <c r="AK29" s="20"/>
      <c r="AL29" s="20"/>
      <c r="AM29" s="20"/>
      <c r="AN29" s="20"/>
      <c r="AO29" s="20"/>
      <c r="AP29" s="20"/>
      <c r="AQ29" s="20"/>
      <c r="AR29" s="20"/>
      <c r="AS29" s="20"/>
    </row>
    <row r="30" spans="1:45" ht="38.25" x14ac:dyDescent="0.35">
      <c r="A30" s="18" t="s">
        <v>59</v>
      </c>
      <c r="B30" s="18" t="s">
        <v>33</v>
      </c>
      <c r="C30" s="18" t="s">
        <v>181</v>
      </c>
      <c r="D30" s="64">
        <v>589999</v>
      </c>
      <c r="E30" t="s">
        <v>167</v>
      </c>
      <c r="F30" t="s">
        <v>685</v>
      </c>
      <c r="G30" s="19" t="s">
        <v>71</v>
      </c>
      <c r="H30" s="19" t="s">
        <v>182</v>
      </c>
      <c r="I30" s="19" t="s">
        <v>55</v>
      </c>
      <c r="J30" s="19" t="s">
        <v>55</v>
      </c>
      <c r="K30" t="s">
        <v>714</v>
      </c>
      <c r="L30" s="11">
        <f t="shared" si="1"/>
        <v>7.4090909090909092</v>
      </c>
      <c r="M30" s="19">
        <v>7.3</v>
      </c>
      <c r="N30" s="19">
        <v>7</v>
      </c>
      <c r="O30" s="19">
        <v>7.4</v>
      </c>
      <c r="P30" s="19">
        <v>7.5</v>
      </c>
      <c r="Q30" s="19">
        <v>7.5</v>
      </c>
      <c r="R30" s="19">
        <v>7.6</v>
      </c>
      <c r="S30" s="19">
        <v>7</v>
      </c>
      <c r="T30" s="19">
        <v>7.2</v>
      </c>
      <c r="U30" s="19">
        <v>7.5</v>
      </c>
      <c r="V30" s="19">
        <v>7</v>
      </c>
      <c r="W30" s="19">
        <v>8.5</v>
      </c>
      <c r="X30" s="19" t="s">
        <v>48</v>
      </c>
      <c r="Y30" s="18" t="s">
        <v>36</v>
      </c>
      <c r="Z30" s="19" t="s">
        <v>57</v>
      </c>
      <c r="AA30" s="20" t="s">
        <v>48</v>
      </c>
      <c r="AB30" s="21"/>
      <c r="AC30" s="20"/>
      <c r="AD30" s="20"/>
      <c r="AE30" s="20"/>
      <c r="AF30" s="20"/>
      <c r="AG30" s="20"/>
      <c r="AH30" s="20"/>
      <c r="AI30" s="20"/>
      <c r="AJ30" s="20"/>
      <c r="AK30" s="20"/>
      <c r="AL30" s="20"/>
      <c r="AM30" s="20"/>
      <c r="AN30" s="20"/>
      <c r="AO30" s="20"/>
      <c r="AP30" s="20"/>
      <c r="AQ30" s="20"/>
      <c r="AR30" s="20"/>
      <c r="AS30" s="20"/>
    </row>
    <row r="31" spans="1:45" ht="63.75" x14ac:dyDescent="0.35">
      <c r="A31" s="18" t="s">
        <v>59</v>
      </c>
      <c r="B31" s="18" t="s">
        <v>33</v>
      </c>
      <c r="C31" s="18" t="s">
        <v>183</v>
      </c>
      <c r="D31" s="64">
        <v>750000</v>
      </c>
      <c r="E31" t="s">
        <v>70</v>
      </c>
      <c r="F31" t="s">
        <v>686</v>
      </c>
      <c r="G31" s="19" t="s">
        <v>60</v>
      </c>
      <c r="H31" s="19" t="s">
        <v>184</v>
      </c>
      <c r="I31" s="19" t="s">
        <v>165</v>
      </c>
      <c r="J31" s="19" t="s">
        <v>185</v>
      </c>
      <c r="K31" t="s">
        <v>715</v>
      </c>
      <c r="L31" s="11">
        <f t="shared" si="1"/>
        <v>7.6636363636363631</v>
      </c>
      <c r="M31" s="18">
        <v>8</v>
      </c>
      <c r="N31" s="18">
        <v>7.5</v>
      </c>
      <c r="O31" s="18">
        <v>8</v>
      </c>
      <c r="P31" s="18">
        <v>6.8</v>
      </c>
      <c r="Q31" s="18">
        <v>8</v>
      </c>
      <c r="R31" s="18">
        <v>8</v>
      </c>
      <c r="S31" s="18">
        <v>7.5</v>
      </c>
      <c r="T31" s="18">
        <v>7</v>
      </c>
      <c r="U31" s="18">
        <v>7</v>
      </c>
      <c r="V31" s="18">
        <v>8</v>
      </c>
      <c r="W31" s="18">
        <v>8.5</v>
      </c>
      <c r="X31" s="19" t="s">
        <v>48</v>
      </c>
      <c r="Y31" s="18" t="s">
        <v>186</v>
      </c>
      <c r="Z31" s="18" t="s">
        <v>102</v>
      </c>
      <c r="AA31" s="20" t="s">
        <v>50</v>
      </c>
      <c r="AB31" s="21"/>
      <c r="AC31" s="20"/>
      <c r="AD31" s="20"/>
      <c r="AE31" s="20"/>
      <c r="AF31" s="20"/>
      <c r="AG31" s="20"/>
      <c r="AH31" s="20"/>
      <c r="AI31" s="20"/>
      <c r="AJ31" s="20"/>
      <c r="AK31" s="20"/>
      <c r="AL31" s="20"/>
      <c r="AM31" s="20"/>
      <c r="AN31" s="20"/>
      <c r="AO31" s="20"/>
      <c r="AP31" s="20"/>
      <c r="AQ31" s="20"/>
      <c r="AR31" s="20"/>
      <c r="AS31" s="20"/>
    </row>
    <row r="32" spans="1:45" ht="42" hidden="1" customHeight="1" x14ac:dyDescent="0.35">
      <c r="A32" s="18" t="s">
        <v>40</v>
      </c>
      <c r="B32" s="18" t="s">
        <v>187</v>
      </c>
      <c r="C32" s="18" t="s">
        <v>188</v>
      </c>
      <c r="D32" s="65" t="s">
        <v>737</v>
      </c>
      <c r="E32" t="s">
        <v>167</v>
      </c>
      <c r="F32" s="18" t="s">
        <v>189</v>
      </c>
      <c r="G32" s="19" t="s">
        <v>71</v>
      </c>
      <c r="H32" s="19" t="s">
        <v>164</v>
      </c>
      <c r="I32" s="19" t="s">
        <v>190</v>
      </c>
      <c r="J32" s="18" t="s">
        <v>191</v>
      </c>
      <c r="K32" t="s">
        <v>716</v>
      </c>
      <c r="L32" s="11">
        <f t="shared" si="1"/>
        <v>7.8636363636363633</v>
      </c>
      <c r="M32" s="18">
        <v>8</v>
      </c>
      <c r="N32" s="18">
        <v>8</v>
      </c>
      <c r="O32" s="18">
        <v>9</v>
      </c>
      <c r="P32" s="18">
        <v>7.5</v>
      </c>
      <c r="Q32" s="18">
        <v>8</v>
      </c>
      <c r="R32" s="18">
        <v>8</v>
      </c>
      <c r="S32" s="18">
        <v>7.5</v>
      </c>
      <c r="T32" s="18">
        <v>7</v>
      </c>
      <c r="U32" s="18">
        <v>7</v>
      </c>
      <c r="V32" s="18">
        <v>8</v>
      </c>
      <c r="W32" s="18">
        <v>8.5</v>
      </c>
      <c r="X32" s="18" t="s">
        <v>38</v>
      </c>
      <c r="Y32" s="18" t="s">
        <v>186</v>
      </c>
      <c r="Z32" s="18" t="s">
        <v>57</v>
      </c>
      <c r="AA32" s="20" t="s">
        <v>50</v>
      </c>
      <c r="AB32" t="s">
        <v>192</v>
      </c>
      <c r="AC32" s="20"/>
      <c r="AD32" s="20"/>
      <c r="AE32" s="20"/>
      <c r="AF32" s="20"/>
      <c r="AG32" s="20"/>
      <c r="AH32" s="20"/>
      <c r="AI32" s="20"/>
      <c r="AJ32" s="20"/>
      <c r="AK32" s="20"/>
      <c r="AL32" s="20"/>
      <c r="AM32" s="20"/>
      <c r="AN32" s="20"/>
      <c r="AO32" s="20"/>
      <c r="AP32" s="20"/>
      <c r="AQ32" s="20"/>
      <c r="AR32" s="20"/>
      <c r="AS32" s="20"/>
    </row>
    <row r="33" spans="1:45" ht="63.75" x14ac:dyDescent="0.35">
      <c r="A33" s="22" t="s">
        <v>59</v>
      </c>
      <c r="B33" s="22" t="s">
        <v>33</v>
      </c>
      <c r="C33" s="22" t="s">
        <v>193</v>
      </c>
      <c r="D33" s="64">
        <v>589000</v>
      </c>
      <c r="E33" s="24"/>
      <c r="F33" s="23" t="s">
        <v>194</v>
      </c>
      <c r="G33" s="24" t="s">
        <v>60</v>
      </c>
      <c r="H33" s="24" t="s">
        <v>195</v>
      </c>
      <c r="I33" s="24" t="s">
        <v>152</v>
      </c>
      <c r="J33" s="24" t="s">
        <v>196</v>
      </c>
      <c r="K33" s="24" t="s">
        <v>111</v>
      </c>
      <c r="L33" s="11">
        <f t="shared" si="1"/>
        <v>7</v>
      </c>
      <c r="M33" s="24">
        <v>7</v>
      </c>
      <c r="N33" s="24">
        <v>7.5</v>
      </c>
      <c r="O33" s="24">
        <v>7</v>
      </c>
      <c r="P33" s="24">
        <v>7</v>
      </c>
      <c r="Q33" s="24">
        <v>6.5</v>
      </c>
      <c r="R33" s="24">
        <v>7</v>
      </c>
      <c r="S33" s="24">
        <v>7</v>
      </c>
      <c r="T33" s="24">
        <v>7.5</v>
      </c>
      <c r="U33" s="24">
        <v>6.5</v>
      </c>
      <c r="V33" s="24">
        <v>7.5</v>
      </c>
      <c r="W33" s="24">
        <v>6.5</v>
      </c>
      <c r="X33" s="24" t="s">
        <v>48</v>
      </c>
      <c r="Y33" s="22" t="s">
        <v>36</v>
      </c>
      <c r="Z33" s="24" t="s">
        <v>79</v>
      </c>
      <c r="AA33" s="25" t="s">
        <v>55</v>
      </c>
      <c r="AB33" s="26"/>
      <c r="AC33" s="25"/>
      <c r="AD33" s="25"/>
      <c r="AE33" s="25"/>
      <c r="AF33" s="25"/>
      <c r="AG33" s="25"/>
      <c r="AH33" s="25"/>
      <c r="AI33" s="25"/>
      <c r="AJ33" s="25"/>
      <c r="AK33" s="25"/>
      <c r="AL33" s="25"/>
      <c r="AM33" s="25"/>
      <c r="AN33" s="25"/>
      <c r="AO33" s="25"/>
      <c r="AP33" s="25"/>
      <c r="AQ33" s="25"/>
      <c r="AR33" s="25"/>
      <c r="AS33" s="25"/>
    </row>
    <row r="34" spans="1:45" ht="63.75" x14ac:dyDescent="0.35">
      <c r="A34" s="22" t="s">
        <v>59</v>
      </c>
      <c r="B34" s="22" t="s">
        <v>33</v>
      </c>
      <c r="C34" t="s">
        <v>647</v>
      </c>
      <c r="D34" s="65" t="s">
        <v>652</v>
      </c>
      <c r="E34" t="s">
        <v>59</v>
      </c>
      <c r="F34" s="23" t="s">
        <v>197</v>
      </c>
      <c r="G34" s="24" t="s">
        <v>60</v>
      </c>
      <c r="H34" s="24" t="s">
        <v>198</v>
      </c>
      <c r="I34" s="24" t="s">
        <v>152</v>
      </c>
      <c r="J34" s="24" t="s">
        <v>196</v>
      </c>
      <c r="K34" t="s">
        <v>717</v>
      </c>
      <c r="L34" s="11">
        <f t="shared" si="1"/>
        <v>6.9818181818181815</v>
      </c>
      <c r="M34" s="24">
        <v>6.8</v>
      </c>
      <c r="N34" s="24">
        <v>7.5</v>
      </c>
      <c r="O34" s="24">
        <v>7</v>
      </c>
      <c r="P34" s="24">
        <v>7</v>
      </c>
      <c r="Q34" s="24">
        <v>6.5</v>
      </c>
      <c r="R34" s="24">
        <v>7</v>
      </c>
      <c r="S34" s="24">
        <v>7</v>
      </c>
      <c r="T34" s="24">
        <v>7.5</v>
      </c>
      <c r="U34" s="24">
        <v>6.5</v>
      </c>
      <c r="V34" s="24">
        <v>7.5</v>
      </c>
      <c r="W34" s="24">
        <v>6.5</v>
      </c>
      <c r="X34" s="24" t="s">
        <v>38</v>
      </c>
      <c r="Y34" s="22" t="s">
        <v>199</v>
      </c>
      <c r="Z34" s="24" t="s">
        <v>102</v>
      </c>
      <c r="AA34" s="25" t="s">
        <v>55</v>
      </c>
      <c r="AB34" t="s">
        <v>200</v>
      </c>
      <c r="AC34" s="25"/>
      <c r="AD34" s="25"/>
      <c r="AE34" s="25"/>
      <c r="AF34" s="25"/>
      <c r="AG34" s="25"/>
      <c r="AH34" s="25"/>
      <c r="AI34" s="25"/>
      <c r="AJ34" s="25"/>
      <c r="AK34" s="25"/>
      <c r="AL34" s="25"/>
      <c r="AM34" s="25"/>
      <c r="AN34" s="25"/>
      <c r="AO34" s="25"/>
      <c r="AP34" s="25"/>
      <c r="AQ34" s="25"/>
      <c r="AR34" s="25"/>
      <c r="AS34" s="25"/>
    </row>
    <row r="35" spans="1:45" ht="102" x14ac:dyDescent="0.35">
      <c r="A35" s="18" t="s">
        <v>33</v>
      </c>
      <c r="B35" s="18" t="s">
        <v>77</v>
      </c>
      <c r="C35" s="18" t="s">
        <v>201</v>
      </c>
      <c r="D35" s="65" t="s">
        <v>653</v>
      </c>
      <c r="E35" s="28"/>
      <c r="F35" s="27" t="s">
        <v>202</v>
      </c>
      <c r="G35" s="19" t="s">
        <v>203</v>
      </c>
      <c r="H35" s="19" t="s">
        <v>204</v>
      </c>
      <c r="I35" s="19" t="s">
        <v>205</v>
      </c>
      <c r="J35" s="18" t="s">
        <v>206</v>
      </c>
      <c r="K35" s="19" t="s">
        <v>207</v>
      </c>
      <c r="L35" s="11">
        <f t="shared" si="1"/>
        <v>7.5454545454545459</v>
      </c>
      <c r="M35" s="19">
        <v>7</v>
      </c>
      <c r="N35" s="19">
        <v>7</v>
      </c>
      <c r="O35" s="19">
        <v>7</v>
      </c>
      <c r="P35" s="19">
        <v>8</v>
      </c>
      <c r="Q35" s="19">
        <v>8</v>
      </c>
      <c r="R35" s="19">
        <v>8</v>
      </c>
      <c r="S35" s="19">
        <v>8</v>
      </c>
      <c r="T35" s="19">
        <v>7</v>
      </c>
      <c r="U35" s="19">
        <v>7</v>
      </c>
      <c r="V35" s="19">
        <v>7</v>
      </c>
      <c r="W35" s="19">
        <v>9</v>
      </c>
      <c r="X35" s="19" t="s">
        <v>38</v>
      </c>
      <c r="Y35" s="18" t="s">
        <v>36</v>
      </c>
      <c r="Z35" s="19" t="s">
        <v>79</v>
      </c>
      <c r="AA35" s="20" t="s">
        <v>50</v>
      </c>
      <c r="AB35" s="21"/>
      <c r="AC35" s="20"/>
      <c r="AD35" s="20"/>
      <c r="AE35" s="20"/>
      <c r="AF35" s="20"/>
      <c r="AG35" s="20"/>
      <c r="AH35" s="20"/>
      <c r="AI35" s="20"/>
      <c r="AJ35" s="20"/>
      <c r="AK35" s="20"/>
      <c r="AL35" s="20"/>
      <c r="AM35" s="20"/>
      <c r="AN35" s="20"/>
      <c r="AO35" s="20"/>
      <c r="AP35" s="20"/>
      <c r="AQ35" s="20"/>
      <c r="AR35" s="20"/>
      <c r="AS35" s="20"/>
    </row>
    <row r="36" spans="1:45" ht="102" x14ac:dyDescent="0.35">
      <c r="A36" s="18" t="s">
        <v>33</v>
      </c>
      <c r="B36" s="18" t="s">
        <v>77</v>
      </c>
      <c r="C36" s="18" t="s">
        <v>208</v>
      </c>
      <c r="D36" s="67"/>
      <c r="E36" s="28"/>
      <c r="F36" s="27" t="s">
        <v>209</v>
      </c>
      <c r="G36" s="19" t="s">
        <v>66</v>
      </c>
      <c r="H36" s="19" t="s">
        <v>210</v>
      </c>
      <c r="I36" s="19" t="s">
        <v>205</v>
      </c>
      <c r="J36" s="18" t="s">
        <v>206</v>
      </c>
      <c r="K36" s="19" t="s">
        <v>207</v>
      </c>
      <c r="L36" s="11">
        <f t="shared" si="1"/>
        <v>7.6363636363636367</v>
      </c>
      <c r="M36" s="19">
        <v>7</v>
      </c>
      <c r="N36" s="19">
        <v>7</v>
      </c>
      <c r="O36" s="19">
        <v>7</v>
      </c>
      <c r="P36" s="19">
        <v>8</v>
      </c>
      <c r="Q36" s="19">
        <v>8</v>
      </c>
      <c r="R36" s="19">
        <v>8</v>
      </c>
      <c r="S36" s="19">
        <v>7</v>
      </c>
      <c r="T36" s="19">
        <v>8</v>
      </c>
      <c r="U36" s="19">
        <v>8</v>
      </c>
      <c r="V36" s="19">
        <v>7</v>
      </c>
      <c r="W36" s="19">
        <v>9</v>
      </c>
      <c r="X36" s="19" t="s">
        <v>38</v>
      </c>
      <c r="Y36" s="18" t="s">
        <v>36</v>
      </c>
      <c r="Z36" s="19" t="s">
        <v>79</v>
      </c>
      <c r="AA36" s="20" t="s">
        <v>50</v>
      </c>
      <c r="AB36" s="21"/>
      <c r="AC36" s="20"/>
      <c r="AD36" s="20"/>
      <c r="AE36" s="20"/>
      <c r="AF36" s="20"/>
      <c r="AG36" s="20"/>
      <c r="AH36" s="20"/>
      <c r="AI36" s="20"/>
      <c r="AJ36" s="20"/>
      <c r="AK36" s="20"/>
      <c r="AL36" s="20"/>
      <c r="AM36" s="20"/>
      <c r="AN36" s="20"/>
      <c r="AO36" s="20"/>
      <c r="AP36" s="20"/>
      <c r="AQ36" s="20"/>
      <c r="AR36" s="20"/>
      <c r="AS36" s="20"/>
    </row>
    <row r="37" spans="1:45" ht="38.25" x14ac:dyDescent="0.35">
      <c r="A37" s="18" t="s">
        <v>70</v>
      </c>
      <c r="B37" s="18" t="s">
        <v>59</v>
      </c>
      <c r="C37" s="18" t="s">
        <v>211</v>
      </c>
      <c r="D37" s="65" t="s">
        <v>654</v>
      </c>
      <c r="E37" s="29" t="s">
        <v>59</v>
      </c>
      <c r="F37" s="27" t="s">
        <v>212</v>
      </c>
      <c r="G37" s="19" t="s">
        <v>31</v>
      </c>
      <c r="H37" s="19" t="s">
        <v>213</v>
      </c>
      <c r="I37" s="19" t="s">
        <v>214</v>
      </c>
      <c r="J37" s="18" t="s">
        <v>206</v>
      </c>
      <c r="K37" s="19" t="s">
        <v>215</v>
      </c>
      <c r="L37" s="11">
        <f t="shared" si="1"/>
        <v>7.6363636363636367</v>
      </c>
      <c r="M37" s="19">
        <v>8</v>
      </c>
      <c r="N37" s="19">
        <v>7.5</v>
      </c>
      <c r="O37" s="19">
        <v>7.5</v>
      </c>
      <c r="P37" s="19">
        <v>7</v>
      </c>
      <c r="Q37" s="19">
        <v>7</v>
      </c>
      <c r="R37" s="19">
        <v>7</v>
      </c>
      <c r="S37" s="19">
        <v>8</v>
      </c>
      <c r="T37" s="19">
        <v>8</v>
      </c>
      <c r="U37" s="19">
        <v>8.5</v>
      </c>
      <c r="V37" s="19">
        <v>8.5</v>
      </c>
      <c r="W37" s="19">
        <v>7</v>
      </c>
      <c r="X37" s="19" t="s">
        <v>38</v>
      </c>
      <c r="Y37" s="18" t="s">
        <v>216</v>
      </c>
      <c r="Z37" s="19" t="s">
        <v>180</v>
      </c>
      <c r="AA37" s="20" t="s">
        <v>50</v>
      </c>
      <c r="AB37" s="21"/>
      <c r="AC37" s="20"/>
      <c r="AD37" s="20"/>
      <c r="AE37" s="20"/>
      <c r="AF37" s="20"/>
      <c r="AG37" s="20"/>
      <c r="AH37" s="20"/>
      <c r="AI37" s="20"/>
      <c r="AJ37" s="20"/>
      <c r="AK37" s="20"/>
      <c r="AL37" s="20"/>
      <c r="AM37" s="20"/>
      <c r="AN37" s="20"/>
      <c r="AO37" s="20"/>
      <c r="AP37" s="20"/>
      <c r="AQ37" s="20"/>
      <c r="AR37" s="20"/>
      <c r="AS37" s="20"/>
    </row>
    <row r="38" spans="1:45" ht="38.25" hidden="1" x14ac:dyDescent="0.35">
      <c r="A38" s="18" t="s">
        <v>70</v>
      </c>
      <c r="B38" s="18" t="s">
        <v>40</v>
      </c>
      <c r="C38" t="s">
        <v>648</v>
      </c>
      <c r="D38" s="64">
        <v>699000</v>
      </c>
      <c r="E38" t="s">
        <v>40</v>
      </c>
      <c r="F38" s="18" t="s">
        <v>217</v>
      </c>
      <c r="G38" s="19" t="s">
        <v>71</v>
      </c>
      <c r="H38" s="19" t="s">
        <v>218</v>
      </c>
      <c r="I38" s="19" t="s">
        <v>33</v>
      </c>
      <c r="J38" s="19" t="s">
        <v>63</v>
      </c>
      <c r="K38" t="s">
        <v>718</v>
      </c>
      <c r="L38" s="11">
        <f t="shared" si="1"/>
        <v>4.8636363636363633</v>
      </c>
      <c r="M38" s="19">
        <v>8</v>
      </c>
      <c r="N38" s="19">
        <v>7.5</v>
      </c>
      <c r="O38" s="19">
        <v>8</v>
      </c>
      <c r="P38" s="19">
        <v>7</v>
      </c>
      <c r="Q38" s="19">
        <v>8</v>
      </c>
      <c r="R38" s="19">
        <v>7.5</v>
      </c>
      <c r="S38" s="19"/>
      <c r="T38" s="19"/>
      <c r="U38" s="19"/>
      <c r="V38" s="19"/>
      <c r="W38" s="19">
        <v>7.5</v>
      </c>
      <c r="X38" s="19" t="s">
        <v>48</v>
      </c>
      <c r="Y38" s="19" t="s">
        <v>117</v>
      </c>
      <c r="Z38" s="19" t="s">
        <v>57</v>
      </c>
      <c r="AA38" s="20" t="s">
        <v>50</v>
      </c>
      <c r="AB38" t="s">
        <v>719</v>
      </c>
      <c r="AC38" s="20"/>
      <c r="AD38" s="20"/>
      <c r="AE38" s="20"/>
      <c r="AF38" s="20"/>
      <c r="AG38" s="20"/>
      <c r="AH38" s="20"/>
      <c r="AI38" s="20"/>
      <c r="AJ38" s="20"/>
      <c r="AK38" s="20"/>
      <c r="AL38" s="20"/>
      <c r="AM38" s="20"/>
      <c r="AN38" s="20"/>
      <c r="AO38" s="20"/>
      <c r="AP38" s="20"/>
      <c r="AQ38" s="20"/>
      <c r="AR38" s="20"/>
      <c r="AS38" s="20"/>
    </row>
    <row r="39" spans="1:45" ht="63.75" hidden="1" x14ac:dyDescent="0.35">
      <c r="A39" s="18" t="s">
        <v>59</v>
      </c>
      <c r="B39" s="18" t="s">
        <v>160</v>
      </c>
      <c r="C39" s="18" t="s">
        <v>219</v>
      </c>
      <c r="D39" s="64">
        <v>1799000</v>
      </c>
      <c r="E39" t="s">
        <v>167</v>
      </c>
      <c r="F39" s="18" t="s">
        <v>220</v>
      </c>
      <c r="G39" s="19" t="s">
        <v>71</v>
      </c>
      <c r="H39" s="19" t="s">
        <v>221</v>
      </c>
      <c r="I39" s="19" t="s">
        <v>59</v>
      </c>
      <c r="J39" s="19" t="s">
        <v>133</v>
      </c>
      <c r="K39" s="19" t="s">
        <v>222</v>
      </c>
      <c r="L39" s="11">
        <f t="shared" si="1"/>
        <v>4.7272727272727275</v>
      </c>
      <c r="M39" s="19">
        <v>8</v>
      </c>
      <c r="N39" s="19">
        <v>7.5</v>
      </c>
      <c r="O39" s="19">
        <v>7.5</v>
      </c>
      <c r="P39" s="19">
        <v>6</v>
      </c>
      <c r="Q39" s="19">
        <v>7</v>
      </c>
      <c r="R39" s="19">
        <v>8</v>
      </c>
      <c r="S39" s="19"/>
      <c r="T39" s="19"/>
      <c r="U39" s="19"/>
      <c r="V39" s="19"/>
      <c r="W39" s="19">
        <v>8</v>
      </c>
      <c r="X39" s="19" t="s">
        <v>38</v>
      </c>
      <c r="Y39" s="19" t="s">
        <v>223</v>
      </c>
      <c r="Z39" s="19" t="s">
        <v>57</v>
      </c>
      <c r="AA39" s="20" t="s">
        <v>48</v>
      </c>
      <c r="AB39" s="21"/>
      <c r="AC39" s="20"/>
      <c r="AD39" s="20"/>
      <c r="AE39" s="20"/>
      <c r="AF39" s="20"/>
      <c r="AG39" s="20"/>
      <c r="AH39" s="20"/>
      <c r="AI39" s="20"/>
      <c r="AJ39" s="20"/>
      <c r="AK39" s="20"/>
      <c r="AL39" s="20"/>
      <c r="AM39" s="20"/>
      <c r="AN39" s="20"/>
      <c r="AO39" s="20"/>
      <c r="AP39" s="20"/>
      <c r="AQ39" s="20"/>
      <c r="AR39" s="20"/>
      <c r="AS39" s="20"/>
    </row>
    <row r="40" spans="1:45" ht="51" hidden="1" x14ac:dyDescent="0.35">
      <c r="A40" s="18" t="s">
        <v>59</v>
      </c>
      <c r="B40" s="18" t="s">
        <v>33</v>
      </c>
      <c r="C40" s="18" t="s">
        <v>224</v>
      </c>
      <c r="D40" s="64">
        <v>1000000</v>
      </c>
      <c r="E40" t="s">
        <v>40</v>
      </c>
      <c r="F40" s="18" t="s">
        <v>225</v>
      </c>
      <c r="G40" s="19" t="s">
        <v>60</v>
      </c>
      <c r="H40" s="19" t="s">
        <v>226</v>
      </c>
      <c r="I40" s="19" t="s">
        <v>227</v>
      </c>
      <c r="J40" s="19" t="s">
        <v>228</v>
      </c>
      <c r="K40" s="19" t="s">
        <v>215</v>
      </c>
      <c r="L40" s="11">
        <f t="shared" si="1"/>
        <v>4.4090909090909092</v>
      </c>
      <c r="M40" s="19">
        <v>7</v>
      </c>
      <c r="N40" s="19">
        <v>7</v>
      </c>
      <c r="O40" s="19">
        <v>7</v>
      </c>
      <c r="P40" s="19">
        <v>7</v>
      </c>
      <c r="Q40" s="19">
        <v>7</v>
      </c>
      <c r="R40" s="19">
        <v>6.5</v>
      </c>
      <c r="S40" s="19"/>
      <c r="T40" s="19"/>
      <c r="U40" s="19"/>
      <c r="V40" s="19"/>
      <c r="W40" s="19">
        <v>7</v>
      </c>
      <c r="X40" s="19" t="s">
        <v>38</v>
      </c>
      <c r="Y40" s="19" t="s">
        <v>36</v>
      </c>
      <c r="Z40" s="19" t="s">
        <v>38</v>
      </c>
      <c r="AA40" s="20" t="s">
        <v>55</v>
      </c>
      <c r="AB40" s="18" t="s">
        <v>39</v>
      </c>
      <c r="AC40" s="20"/>
      <c r="AD40" s="20"/>
      <c r="AE40" s="20"/>
      <c r="AF40" s="20"/>
      <c r="AG40" s="20"/>
      <c r="AH40" s="20"/>
      <c r="AI40" s="20"/>
      <c r="AJ40" s="20"/>
      <c r="AK40" s="20"/>
      <c r="AL40" s="20"/>
      <c r="AM40" s="20"/>
      <c r="AN40" s="20"/>
      <c r="AO40" s="20"/>
      <c r="AP40" s="20"/>
      <c r="AQ40" s="20"/>
      <c r="AR40" s="20"/>
      <c r="AS40" s="20"/>
    </row>
    <row r="41" spans="1:45" ht="89.25" x14ac:dyDescent="0.35">
      <c r="A41" s="18" t="s">
        <v>59</v>
      </c>
      <c r="B41" s="18" t="s">
        <v>229</v>
      </c>
      <c r="C41" s="18" t="s">
        <v>230</v>
      </c>
      <c r="D41" s="65" t="s">
        <v>655</v>
      </c>
      <c r="E41" t="s">
        <v>231</v>
      </c>
      <c r="F41" s="27" t="s">
        <v>232</v>
      </c>
      <c r="G41" s="19" t="s">
        <v>60</v>
      </c>
      <c r="H41" s="19" t="s">
        <v>233</v>
      </c>
      <c r="I41" s="19" t="s">
        <v>234</v>
      </c>
      <c r="J41" s="18" t="s">
        <v>63</v>
      </c>
      <c r="K41" s="19" t="s">
        <v>215</v>
      </c>
      <c r="L41" s="11">
        <f t="shared" si="1"/>
        <v>7.1818181818181817</v>
      </c>
      <c r="M41" s="19">
        <v>8</v>
      </c>
      <c r="N41" s="19">
        <v>8</v>
      </c>
      <c r="O41" s="19">
        <v>7</v>
      </c>
      <c r="P41" s="19">
        <v>7</v>
      </c>
      <c r="Q41" s="19">
        <v>7</v>
      </c>
      <c r="R41" s="19">
        <v>7</v>
      </c>
      <c r="S41" s="19">
        <v>7</v>
      </c>
      <c r="T41" s="19">
        <v>7</v>
      </c>
      <c r="U41" s="19">
        <v>7</v>
      </c>
      <c r="V41" s="19">
        <v>7</v>
      </c>
      <c r="W41" s="19">
        <v>7</v>
      </c>
      <c r="X41" s="19" t="s">
        <v>55</v>
      </c>
      <c r="Y41" s="18" t="s">
        <v>36</v>
      </c>
      <c r="Z41" s="19" t="s">
        <v>57</v>
      </c>
      <c r="AA41" s="20" t="s">
        <v>50</v>
      </c>
      <c r="AB41" s="21"/>
      <c r="AC41" s="20"/>
      <c r="AD41" s="20"/>
      <c r="AE41" s="20"/>
      <c r="AF41" s="20"/>
      <c r="AG41" s="20"/>
      <c r="AH41" s="20"/>
      <c r="AI41" s="20"/>
      <c r="AJ41" s="20"/>
      <c r="AK41" s="20"/>
      <c r="AL41" s="20"/>
      <c r="AM41" s="20"/>
      <c r="AN41" s="20"/>
      <c r="AO41" s="20"/>
      <c r="AP41" s="20"/>
      <c r="AQ41" s="20"/>
      <c r="AR41" s="20"/>
      <c r="AS41" s="20"/>
    </row>
    <row r="42" spans="1:45" ht="25.5" x14ac:dyDescent="0.35">
      <c r="A42" s="18" t="s">
        <v>59</v>
      </c>
      <c r="B42" s="18" t="s">
        <v>59</v>
      </c>
      <c r="C42" s="18" t="s">
        <v>235</v>
      </c>
      <c r="D42" s="64">
        <v>1290000</v>
      </c>
      <c r="E42" s="28" t="s">
        <v>236</v>
      </c>
      <c r="F42" t="s">
        <v>687</v>
      </c>
      <c r="G42" s="19" t="s">
        <v>60</v>
      </c>
      <c r="H42" s="19" t="s">
        <v>237</v>
      </c>
      <c r="I42" s="19" t="s">
        <v>59</v>
      </c>
      <c r="J42" s="19" t="s">
        <v>238</v>
      </c>
      <c r="K42" s="19" t="s">
        <v>207</v>
      </c>
      <c r="L42" s="11">
        <f t="shared" si="1"/>
        <v>7.209090909090909</v>
      </c>
      <c r="M42" s="19">
        <v>7.3</v>
      </c>
      <c r="N42" s="19">
        <v>7.5</v>
      </c>
      <c r="O42" s="19">
        <v>7.5</v>
      </c>
      <c r="P42" s="19">
        <v>7.5</v>
      </c>
      <c r="Q42" s="19">
        <v>7</v>
      </c>
      <c r="R42" s="19">
        <v>7</v>
      </c>
      <c r="S42" s="19">
        <v>7</v>
      </c>
      <c r="T42" s="19">
        <v>7</v>
      </c>
      <c r="U42" s="19">
        <v>7</v>
      </c>
      <c r="V42" s="19">
        <v>7</v>
      </c>
      <c r="W42" s="19">
        <v>7.5</v>
      </c>
      <c r="X42" s="19" t="s">
        <v>38</v>
      </c>
      <c r="Y42" s="19" t="s">
        <v>239</v>
      </c>
      <c r="Z42" s="19" t="s">
        <v>57</v>
      </c>
      <c r="AA42" s="20" t="s">
        <v>50</v>
      </c>
      <c r="AB42" s="21"/>
      <c r="AC42" s="20"/>
      <c r="AD42" s="20"/>
      <c r="AE42" s="20"/>
      <c r="AF42" s="20"/>
      <c r="AG42" s="20"/>
      <c r="AH42" s="20"/>
      <c r="AI42" s="20"/>
      <c r="AJ42" s="20"/>
      <c r="AK42" s="20"/>
      <c r="AL42" s="20"/>
      <c r="AM42" s="20"/>
      <c r="AN42" s="20"/>
      <c r="AO42" s="20"/>
      <c r="AP42" s="20"/>
      <c r="AQ42" s="20"/>
      <c r="AR42" s="20"/>
      <c r="AS42" s="20"/>
    </row>
    <row r="43" spans="1:45" ht="102.75" customHeight="1" x14ac:dyDescent="0.35">
      <c r="A43" s="22" t="s">
        <v>167</v>
      </c>
      <c r="B43" s="22" t="s">
        <v>70</v>
      </c>
      <c r="C43" s="63" t="s">
        <v>240</v>
      </c>
      <c r="D43" s="64">
        <v>299000</v>
      </c>
      <c r="E43" s="24"/>
      <c r="F43" s="22" t="s">
        <v>241</v>
      </c>
      <c r="G43" s="24" t="s">
        <v>60</v>
      </c>
      <c r="H43" s="24" t="s">
        <v>242</v>
      </c>
      <c r="I43" s="24" t="s">
        <v>170</v>
      </c>
      <c r="J43" s="24" t="s">
        <v>206</v>
      </c>
      <c r="K43" s="24" t="s">
        <v>243</v>
      </c>
      <c r="L43" s="11">
        <f t="shared" si="1"/>
        <v>7.245454545454546</v>
      </c>
      <c r="M43" s="22">
        <v>8</v>
      </c>
      <c r="N43" s="24">
        <v>7.5</v>
      </c>
      <c r="O43" s="22">
        <v>7.5</v>
      </c>
      <c r="P43" s="22">
        <v>7</v>
      </c>
      <c r="Q43" s="22">
        <v>7</v>
      </c>
      <c r="R43" s="22">
        <v>7.4</v>
      </c>
      <c r="S43" s="22">
        <v>7</v>
      </c>
      <c r="T43" s="22">
        <v>7</v>
      </c>
      <c r="U43" s="22">
        <v>7</v>
      </c>
      <c r="V43" s="22">
        <v>7.3</v>
      </c>
      <c r="W43" s="22">
        <v>7</v>
      </c>
      <c r="X43" s="24"/>
      <c r="Y43" s="24" t="s">
        <v>244</v>
      </c>
      <c r="Z43" s="24" t="s">
        <v>57</v>
      </c>
      <c r="AA43" s="25" t="s">
        <v>48</v>
      </c>
      <c r="AB43" s="22"/>
      <c r="AC43" s="25"/>
      <c r="AD43" s="25"/>
      <c r="AE43" s="25"/>
      <c r="AF43" s="25"/>
      <c r="AG43" s="25"/>
      <c r="AH43" s="25"/>
      <c r="AI43" s="25"/>
      <c r="AJ43" s="25"/>
      <c r="AK43" s="25"/>
      <c r="AL43" s="25"/>
      <c r="AM43" s="25"/>
      <c r="AN43" s="25"/>
      <c r="AO43" s="25"/>
      <c r="AP43" s="25"/>
      <c r="AQ43" s="25"/>
      <c r="AR43" s="25"/>
      <c r="AS43" s="25"/>
    </row>
    <row r="44" spans="1:45" ht="62.25" customHeight="1" x14ac:dyDescent="0.35">
      <c r="A44" s="22" t="s">
        <v>59</v>
      </c>
      <c r="B44" s="22" t="s">
        <v>167</v>
      </c>
      <c r="C44" s="22" t="s">
        <v>245</v>
      </c>
      <c r="D44" s="64">
        <v>689000</v>
      </c>
      <c r="E44" t="s">
        <v>167</v>
      </c>
      <c r="F44" s="59" t="s">
        <v>748</v>
      </c>
      <c r="G44" s="24" t="s">
        <v>60</v>
      </c>
      <c r="H44" s="24" t="s">
        <v>246</v>
      </c>
      <c r="I44" s="24" t="s">
        <v>38</v>
      </c>
      <c r="J44" s="24" t="s">
        <v>247</v>
      </c>
      <c r="K44" t="s">
        <v>720</v>
      </c>
      <c r="L44" s="11">
        <f t="shared" si="1"/>
        <v>7.2272727272727275</v>
      </c>
      <c r="M44" s="22">
        <v>8</v>
      </c>
      <c r="N44" s="24">
        <v>7.5</v>
      </c>
      <c r="O44" s="22">
        <v>7.5</v>
      </c>
      <c r="P44" s="22">
        <v>7.5</v>
      </c>
      <c r="Q44" s="22">
        <v>7</v>
      </c>
      <c r="R44" s="22">
        <v>7</v>
      </c>
      <c r="S44" s="22">
        <v>7</v>
      </c>
      <c r="T44" s="22">
        <v>7</v>
      </c>
      <c r="U44" s="22">
        <v>7</v>
      </c>
      <c r="V44" s="22">
        <v>7</v>
      </c>
      <c r="W44" s="22">
        <v>7</v>
      </c>
      <c r="X44" s="24"/>
      <c r="Y44" s="24" t="s">
        <v>244</v>
      </c>
      <c r="Z44" s="24" t="s">
        <v>57</v>
      </c>
      <c r="AA44" s="25" t="s">
        <v>48</v>
      </c>
      <c r="AB44" s="22"/>
      <c r="AC44" s="25"/>
      <c r="AD44" s="25"/>
      <c r="AE44" s="25"/>
      <c r="AF44" s="25"/>
      <c r="AG44" s="25"/>
      <c r="AH44" s="25"/>
      <c r="AI44" s="25"/>
      <c r="AJ44" s="25"/>
      <c r="AK44" s="25"/>
      <c r="AL44" s="25"/>
      <c r="AM44" s="25"/>
      <c r="AN44" s="25"/>
      <c r="AO44" s="25"/>
      <c r="AP44" s="25"/>
      <c r="AQ44" s="25"/>
      <c r="AR44" s="25"/>
      <c r="AS44" s="25"/>
    </row>
    <row r="45" spans="1:45" ht="82.5" customHeight="1" x14ac:dyDescent="0.35">
      <c r="A45" s="22" t="s">
        <v>167</v>
      </c>
      <c r="B45" s="22" t="s">
        <v>59</v>
      </c>
      <c r="C45" s="22" t="s">
        <v>248</v>
      </c>
      <c r="D45" s="64">
        <v>789000</v>
      </c>
      <c r="E45" s="24"/>
      <c r="F45" t="s">
        <v>688</v>
      </c>
      <c r="G45" s="24" t="s">
        <v>60</v>
      </c>
      <c r="H45" s="24" t="s">
        <v>249</v>
      </c>
      <c r="I45" s="24" t="s">
        <v>38</v>
      </c>
      <c r="J45" s="24" t="s">
        <v>247</v>
      </c>
      <c r="K45" t="s">
        <v>711</v>
      </c>
      <c r="L45" s="11">
        <f t="shared" si="1"/>
        <v>7.2727272727272725</v>
      </c>
      <c r="M45" s="22">
        <v>8</v>
      </c>
      <c r="N45" s="24">
        <v>7.5</v>
      </c>
      <c r="O45" s="22">
        <v>7.5</v>
      </c>
      <c r="P45" s="22">
        <v>7.5</v>
      </c>
      <c r="Q45" s="22">
        <v>7</v>
      </c>
      <c r="R45" s="22">
        <v>7</v>
      </c>
      <c r="S45" s="22">
        <v>7</v>
      </c>
      <c r="T45" s="22">
        <v>7.5</v>
      </c>
      <c r="U45" s="22">
        <v>7</v>
      </c>
      <c r="V45" s="22">
        <v>7</v>
      </c>
      <c r="W45" s="22">
        <v>7</v>
      </c>
      <c r="X45" s="24" t="s">
        <v>48</v>
      </c>
      <c r="Y45" s="24" t="s">
        <v>36</v>
      </c>
      <c r="Z45" s="24" t="s">
        <v>79</v>
      </c>
      <c r="AA45" s="25"/>
      <c r="AB45" s="22"/>
      <c r="AC45" s="25"/>
      <c r="AD45" s="25"/>
      <c r="AE45" s="25"/>
      <c r="AF45" s="25"/>
      <c r="AG45" s="25"/>
      <c r="AH45" s="25"/>
      <c r="AI45" s="25"/>
      <c r="AJ45" s="25"/>
      <c r="AK45" s="25"/>
      <c r="AL45" s="25"/>
      <c r="AM45" s="25"/>
      <c r="AN45" s="25"/>
      <c r="AO45" s="25"/>
      <c r="AP45" s="25"/>
      <c r="AQ45" s="25"/>
      <c r="AR45" s="25"/>
      <c r="AS45" s="25"/>
    </row>
    <row r="46" spans="1:45" ht="89.25" hidden="1" x14ac:dyDescent="0.35">
      <c r="A46" s="18" t="s">
        <v>59</v>
      </c>
      <c r="B46" s="18" t="s">
        <v>170</v>
      </c>
      <c r="C46" s="18" t="s">
        <v>250</v>
      </c>
      <c r="D46" s="64">
        <v>3490000</v>
      </c>
      <c r="E46" t="s">
        <v>40</v>
      </c>
      <c r="F46" s="27" t="s">
        <v>251</v>
      </c>
      <c r="G46" s="19" t="s">
        <v>60</v>
      </c>
      <c r="H46" s="19" t="s">
        <v>252</v>
      </c>
      <c r="I46" s="19" t="s">
        <v>33</v>
      </c>
      <c r="J46" s="18" t="s">
        <v>68</v>
      </c>
      <c r="K46" s="19" t="s">
        <v>253</v>
      </c>
      <c r="L46" s="11">
        <f t="shared" si="1"/>
        <v>7.9090909090909092</v>
      </c>
      <c r="M46" s="19">
        <v>9</v>
      </c>
      <c r="N46" s="19">
        <v>8.5</v>
      </c>
      <c r="O46" s="19">
        <v>8</v>
      </c>
      <c r="P46" s="19">
        <v>7</v>
      </c>
      <c r="Q46" s="19">
        <v>8</v>
      </c>
      <c r="R46" s="19">
        <v>8.5</v>
      </c>
      <c r="S46" s="19">
        <v>7</v>
      </c>
      <c r="T46" s="19">
        <v>8</v>
      </c>
      <c r="U46" s="19">
        <v>7</v>
      </c>
      <c r="V46" s="19">
        <v>8</v>
      </c>
      <c r="W46" s="19">
        <v>8</v>
      </c>
      <c r="X46" s="19" t="s">
        <v>55</v>
      </c>
      <c r="Y46" s="18" t="s">
        <v>36</v>
      </c>
      <c r="Z46" s="19" t="s">
        <v>254</v>
      </c>
      <c r="AA46" s="20" t="s">
        <v>50</v>
      </c>
      <c r="AB46" s="21"/>
      <c r="AC46" s="20"/>
      <c r="AD46" s="20"/>
      <c r="AE46" s="20"/>
      <c r="AF46" s="20"/>
      <c r="AG46" s="20"/>
      <c r="AH46" s="20"/>
      <c r="AI46" s="20"/>
      <c r="AJ46" s="20"/>
      <c r="AK46" s="20"/>
      <c r="AL46" s="20"/>
      <c r="AM46" s="20"/>
      <c r="AN46" s="20"/>
      <c r="AO46" s="20"/>
      <c r="AP46" s="20"/>
      <c r="AQ46" s="20"/>
      <c r="AR46" s="20"/>
      <c r="AS46" s="20"/>
    </row>
    <row r="47" spans="1:45" ht="25.5" hidden="1" x14ac:dyDescent="0.35">
      <c r="A47" s="18" t="s">
        <v>59</v>
      </c>
      <c r="B47" s="18" t="s">
        <v>170</v>
      </c>
      <c r="C47" s="18" t="s">
        <v>255</v>
      </c>
      <c r="D47" s="64">
        <v>2790000</v>
      </c>
      <c r="E47" t="s">
        <v>33</v>
      </c>
      <c r="F47" s="27" t="s">
        <v>256</v>
      </c>
      <c r="G47" s="19" t="s">
        <v>60</v>
      </c>
      <c r="H47" s="19" t="s">
        <v>257</v>
      </c>
      <c r="I47" s="19" t="s">
        <v>33</v>
      </c>
      <c r="J47" s="18" t="s">
        <v>68</v>
      </c>
      <c r="K47" s="19" t="s">
        <v>253</v>
      </c>
      <c r="L47" s="11">
        <f t="shared" si="1"/>
        <v>6.9090909090909092</v>
      </c>
      <c r="M47" s="19">
        <v>7</v>
      </c>
      <c r="N47" s="19">
        <v>7</v>
      </c>
      <c r="O47" s="19">
        <v>6.5</v>
      </c>
      <c r="P47" s="19">
        <v>7</v>
      </c>
      <c r="Q47" s="19">
        <v>6.5</v>
      </c>
      <c r="R47" s="19">
        <v>7</v>
      </c>
      <c r="S47" s="19">
        <v>7</v>
      </c>
      <c r="T47" s="19">
        <v>7</v>
      </c>
      <c r="U47" s="19">
        <v>7</v>
      </c>
      <c r="V47" s="19">
        <v>7</v>
      </c>
      <c r="W47" s="19">
        <v>7</v>
      </c>
      <c r="X47" s="19" t="s">
        <v>55</v>
      </c>
      <c r="Y47" s="18" t="s">
        <v>258</v>
      </c>
      <c r="Z47" s="19" t="s">
        <v>259</v>
      </c>
      <c r="AA47" s="20" t="s">
        <v>50</v>
      </c>
      <c r="AB47" s="21"/>
      <c r="AC47" s="20"/>
      <c r="AD47" s="20"/>
      <c r="AE47" s="20"/>
      <c r="AF47" s="20"/>
      <c r="AG47" s="20"/>
      <c r="AH47" s="20"/>
      <c r="AI47" s="20"/>
      <c r="AJ47" s="20"/>
      <c r="AK47" s="20"/>
      <c r="AL47" s="20"/>
      <c r="AM47" s="20"/>
      <c r="AN47" s="20"/>
      <c r="AO47" s="20"/>
      <c r="AP47" s="20"/>
      <c r="AQ47" s="20"/>
      <c r="AR47" s="20"/>
      <c r="AS47" s="20"/>
    </row>
    <row r="48" spans="1:45" ht="38.25" x14ac:dyDescent="0.35">
      <c r="A48" s="22" t="s">
        <v>152</v>
      </c>
      <c r="B48" s="22" t="s">
        <v>33</v>
      </c>
      <c r="C48" s="22" t="s">
        <v>260</v>
      </c>
      <c r="D48" s="64">
        <v>269000</v>
      </c>
      <c r="E48" t="s">
        <v>70</v>
      </c>
      <c r="F48" t="s">
        <v>689</v>
      </c>
      <c r="G48" s="24" t="s">
        <v>261</v>
      </c>
      <c r="H48" s="24" t="s">
        <v>262</v>
      </c>
      <c r="I48" s="24" t="s">
        <v>42</v>
      </c>
      <c r="J48" s="24" t="s">
        <v>263</v>
      </c>
      <c r="K48" s="22" t="s">
        <v>264</v>
      </c>
      <c r="L48" s="11">
        <f t="shared" si="1"/>
        <v>6.2</v>
      </c>
      <c r="M48" s="22">
        <v>7.5</v>
      </c>
      <c r="N48" s="22">
        <v>6</v>
      </c>
      <c r="O48" s="22">
        <v>6.5</v>
      </c>
      <c r="P48" s="22">
        <v>6</v>
      </c>
      <c r="Q48" s="22">
        <v>6</v>
      </c>
      <c r="R48" s="22">
        <v>5.2</v>
      </c>
      <c r="S48" s="22">
        <v>6.5</v>
      </c>
      <c r="T48" s="22">
        <v>6</v>
      </c>
      <c r="U48" s="22">
        <v>6</v>
      </c>
      <c r="V48" s="22">
        <v>6.5</v>
      </c>
      <c r="W48" s="22">
        <v>6</v>
      </c>
      <c r="X48" s="24" t="s">
        <v>48</v>
      </c>
      <c r="Y48" s="24" t="s">
        <v>140</v>
      </c>
      <c r="Z48" s="24" t="s">
        <v>265</v>
      </c>
      <c r="AA48" s="25" t="s">
        <v>55</v>
      </c>
      <c r="AB48" s="22"/>
      <c r="AC48" s="25"/>
      <c r="AD48" s="25"/>
      <c r="AE48" s="25"/>
      <c r="AF48" s="25"/>
      <c r="AG48" s="25"/>
      <c r="AH48" s="25"/>
      <c r="AI48" s="25"/>
      <c r="AJ48" s="25"/>
      <c r="AK48" s="25"/>
      <c r="AL48" s="25"/>
      <c r="AM48" s="25"/>
      <c r="AN48" s="25"/>
      <c r="AO48" s="25"/>
      <c r="AP48" s="25"/>
      <c r="AQ48" s="25"/>
      <c r="AR48" s="25"/>
      <c r="AS48" s="25"/>
    </row>
    <row r="49" spans="1:45" ht="63.75" x14ac:dyDescent="0.35">
      <c r="A49" s="22" t="s">
        <v>170</v>
      </c>
      <c r="B49" s="22" t="s">
        <v>33</v>
      </c>
      <c r="C49" s="22" t="s">
        <v>266</v>
      </c>
      <c r="D49" s="64">
        <v>279000</v>
      </c>
      <c r="E49" t="s">
        <v>160</v>
      </c>
      <c r="F49" s="59" t="s">
        <v>749</v>
      </c>
      <c r="G49" s="24" t="s">
        <v>261</v>
      </c>
      <c r="H49" s="24" t="s">
        <v>267</v>
      </c>
      <c r="I49" s="24" t="s">
        <v>38</v>
      </c>
      <c r="J49" s="24" t="s">
        <v>38</v>
      </c>
      <c r="K49" t="s">
        <v>711</v>
      </c>
      <c r="L49" s="11">
        <f t="shared" si="1"/>
        <v>6.1363636363636367</v>
      </c>
      <c r="M49" s="22">
        <v>7</v>
      </c>
      <c r="N49" s="22">
        <v>6</v>
      </c>
      <c r="O49" s="22">
        <v>6.5</v>
      </c>
      <c r="P49" s="22">
        <v>6</v>
      </c>
      <c r="Q49" s="22">
        <v>6</v>
      </c>
      <c r="R49" s="22">
        <v>5</v>
      </c>
      <c r="S49" s="22">
        <v>6.5</v>
      </c>
      <c r="T49" s="22">
        <v>6</v>
      </c>
      <c r="U49" s="22">
        <v>6</v>
      </c>
      <c r="V49" s="22">
        <v>6.5</v>
      </c>
      <c r="W49" s="22">
        <v>6</v>
      </c>
      <c r="X49" s="24" t="s">
        <v>48</v>
      </c>
      <c r="Y49" s="24" t="s">
        <v>93</v>
      </c>
      <c r="Z49" s="24" t="s">
        <v>268</v>
      </c>
      <c r="AA49" s="25" t="s">
        <v>55</v>
      </c>
      <c r="AB49" s="22"/>
      <c r="AC49" s="25"/>
      <c r="AD49" s="25"/>
      <c r="AE49" s="25"/>
      <c r="AF49" s="25"/>
      <c r="AG49" s="25"/>
      <c r="AH49" s="25"/>
      <c r="AI49" s="25"/>
      <c r="AJ49" s="25"/>
      <c r="AK49" s="25"/>
      <c r="AL49" s="25"/>
      <c r="AM49" s="25"/>
      <c r="AN49" s="25"/>
      <c r="AO49" s="25"/>
      <c r="AP49" s="25"/>
      <c r="AQ49" s="25"/>
      <c r="AR49" s="25"/>
      <c r="AS49" s="25"/>
    </row>
    <row r="50" spans="1:45" ht="38.25" x14ac:dyDescent="0.35">
      <c r="A50" s="22" t="s">
        <v>170</v>
      </c>
      <c r="B50" s="22" t="s">
        <v>59</v>
      </c>
      <c r="C50" s="22" t="s">
        <v>269</v>
      </c>
      <c r="D50" s="64">
        <v>459000</v>
      </c>
      <c r="E50" t="s">
        <v>59</v>
      </c>
      <c r="F50" t="s">
        <v>690</v>
      </c>
      <c r="G50" s="24" t="s">
        <v>261</v>
      </c>
      <c r="H50" s="24" t="s">
        <v>270</v>
      </c>
      <c r="I50" s="24" t="s">
        <v>271</v>
      </c>
      <c r="J50" s="24" t="s">
        <v>272</v>
      </c>
      <c r="K50" s="22" t="s">
        <v>273</v>
      </c>
      <c r="L50" s="11">
        <f t="shared" si="1"/>
        <v>6.0454545454545459</v>
      </c>
      <c r="M50" s="22">
        <v>6.5</v>
      </c>
      <c r="N50" s="22">
        <v>6</v>
      </c>
      <c r="O50" s="22">
        <v>6.4</v>
      </c>
      <c r="P50" s="22">
        <v>5.4</v>
      </c>
      <c r="Q50" s="22">
        <v>6</v>
      </c>
      <c r="R50" s="22">
        <v>5</v>
      </c>
      <c r="S50" s="22">
        <v>6.5</v>
      </c>
      <c r="T50" s="22">
        <v>6</v>
      </c>
      <c r="U50" s="22">
        <v>6</v>
      </c>
      <c r="V50" s="22">
        <v>7</v>
      </c>
      <c r="W50" s="22">
        <v>5.7</v>
      </c>
      <c r="X50" s="24" t="s">
        <v>48</v>
      </c>
      <c r="Y50" s="24" t="s">
        <v>274</v>
      </c>
      <c r="Z50" s="24" t="s">
        <v>275</v>
      </c>
      <c r="AA50" s="25" t="s">
        <v>55</v>
      </c>
      <c r="AB50" s="22"/>
      <c r="AC50" s="25"/>
      <c r="AD50" s="25"/>
      <c r="AE50" s="25"/>
      <c r="AF50" s="25"/>
      <c r="AG50" s="25"/>
      <c r="AH50" s="25"/>
      <c r="AI50" s="25"/>
      <c r="AJ50" s="25"/>
      <c r="AK50" s="25"/>
      <c r="AL50" s="25"/>
      <c r="AM50" s="25"/>
      <c r="AN50" s="25"/>
      <c r="AO50" s="25"/>
      <c r="AP50" s="25"/>
      <c r="AQ50" s="25"/>
      <c r="AR50" s="25"/>
      <c r="AS50" s="25"/>
    </row>
    <row r="51" spans="1:45" ht="63.75" x14ac:dyDescent="0.35">
      <c r="A51" s="22" t="s">
        <v>170</v>
      </c>
      <c r="B51" s="22" t="s">
        <v>77</v>
      </c>
      <c r="C51" s="22" t="s">
        <v>276</v>
      </c>
      <c r="D51" s="64">
        <v>264000</v>
      </c>
      <c r="E51" s="24" t="s">
        <v>277</v>
      </c>
      <c r="F51" s="22" t="s">
        <v>278</v>
      </c>
      <c r="G51" s="24" t="s">
        <v>261</v>
      </c>
      <c r="H51" s="24" t="s">
        <v>279</v>
      </c>
      <c r="I51" s="24" t="s">
        <v>170</v>
      </c>
      <c r="J51" s="24" t="s">
        <v>171</v>
      </c>
      <c r="K51" t="s">
        <v>721</v>
      </c>
      <c r="L51" s="11">
        <f t="shared" si="1"/>
        <v>6.0545454545454538</v>
      </c>
      <c r="M51" s="22">
        <v>6.5</v>
      </c>
      <c r="N51" s="22">
        <v>6</v>
      </c>
      <c r="O51" s="22">
        <v>6.4</v>
      </c>
      <c r="P51" s="22">
        <v>6</v>
      </c>
      <c r="Q51" s="22">
        <v>6</v>
      </c>
      <c r="R51" s="22">
        <v>5</v>
      </c>
      <c r="S51" s="22">
        <v>6</v>
      </c>
      <c r="T51" s="22">
        <v>6</v>
      </c>
      <c r="U51" s="22">
        <v>6</v>
      </c>
      <c r="V51" s="22">
        <v>7</v>
      </c>
      <c r="W51" s="22">
        <v>5.7</v>
      </c>
      <c r="X51" s="24" t="s">
        <v>48</v>
      </c>
      <c r="Y51" s="24" t="s">
        <v>280</v>
      </c>
      <c r="Z51" s="24" t="s">
        <v>265</v>
      </c>
      <c r="AA51" s="25" t="s">
        <v>55</v>
      </c>
      <c r="AB51" s="22"/>
      <c r="AC51" s="25"/>
      <c r="AD51" s="25"/>
      <c r="AE51" s="25"/>
      <c r="AF51" s="25"/>
      <c r="AG51" s="25"/>
      <c r="AH51" s="25"/>
      <c r="AI51" s="25"/>
      <c r="AJ51" s="25"/>
      <c r="AK51" s="25"/>
      <c r="AL51" s="25"/>
      <c r="AM51" s="25"/>
      <c r="AN51" s="25"/>
      <c r="AO51" s="25"/>
      <c r="AP51" s="25"/>
      <c r="AQ51" s="25"/>
      <c r="AR51" s="25"/>
      <c r="AS51" s="25"/>
    </row>
    <row r="52" spans="1:45" ht="63.75" x14ac:dyDescent="0.35">
      <c r="A52" s="22" t="s">
        <v>170</v>
      </c>
      <c r="B52" s="22" t="s">
        <v>170</v>
      </c>
      <c r="C52" s="22" t="s">
        <v>281</v>
      </c>
      <c r="D52" s="64">
        <v>249000</v>
      </c>
      <c r="E52" s="24" t="s">
        <v>160</v>
      </c>
      <c r="F52" s="22" t="s">
        <v>282</v>
      </c>
      <c r="G52" s="24" t="s">
        <v>261</v>
      </c>
      <c r="H52" s="24" t="s">
        <v>283</v>
      </c>
      <c r="I52" s="24" t="s">
        <v>42</v>
      </c>
      <c r="J52" s="24" t="s">
        <v>272</v>
      </c>
      <c r="K52" s="22" t="s">
        <v>264</v>
      </c>
      <c r="L52" s="11">
        <f t="shared" si="1"/>
        <v>6.036363636363637</v>
      </c>
      <c r="M52" s="22">
        <v>6.5</v>
      </c>
      <c r="N52" s="22">
        <v>6</v>
      </c>
      <c r="O52" s="22">
        <v>6.2</v>
      </c>
      <c r="P52" s="22">
        <v>6</v>
      </c>
      <c r="Q52" s="22">
        <v>6</v>
      </c>
      <c r="R52" s="22">
        <v>5</v>
      </c>
      <c r="S52" s="22">
        <v>6.5</v>
      </c>
      <c r="T52" s="22">
        <v>6</v>
      </c>
      <c r="U52" s="22">
        <v>6</v>
      </c>
      <c r="V52" s="22">
        <v>6.5</v>
      </c>
      <c r="W52" s="22">
        <v>5.7</v>
      </c>
      <c r="X52" s="24" t="s">
        <v>38</v>
      </c>
      <c r="Y52" s="24" t="s">
        <v>93</v>
      </c>
      <c r="Z52" s="24" t="s">
        <v>49</v>
      </c>
      <c r="AA52" s="25" t="s">
        <v>55</v>
      </c>
      <c r="AB52" s="22"/>
      <c r="AC52" s="25"/>
      <c r="AD52" s="25"/>
      <c r="AE52" s="25"/>
      <c r="AF52" s="25"/>
      <c r="AG52" s="25"/>
      <c r="AH52" s="25"/>
      <c r="AI52" s="25"/>
      <c r="AJ52" s="25"/>
      <c r="AK52" s="25"/>
      <c r="AL52" s="25"/>
      <c r="AM52" s="25"/>
      <c r="AN52" s="25"/>
      <c r="AO52" s="25"/>
      <c r="AP52" s="25"/>
      <c r="AQ52" s="25"/>
      <c r="AR52" s="25"/>
      <c r="AS52" s="25"/>
    </row>
    <row r="53" spans="1:45" ht="63.75" x14ac:dyDescent="0.35">
      <c r="A53" s="22" t="s">
        <v>170</v>
      </c>
      <c r="B53" s="22" t="s">
        <v>170</v>
      </c>
      <c r="C53" s="22" t="s">
        <v>284</v>
      </c>
      <c r="D53" s="64">
        <v>229000</v>
      </c>
      <c r="E53" t="s">
        <v>160</v>
      </c>
      <c r="F53" s="59" t="s">
        <v>750</v>
      </c>
      <c r="G53" s="24" t="s">
        <v>261</v>
      </c>
      <c r="H53" s="24" t="s">
        <v>285</v>
      </c>
      <c r="I53" s="24" t="s">
        <v>38</v>
      </c>
      <c r="J53" s="24" t="s">
        <v>38</v>
      </c>
      <c r="K53" s="22" t="s">
        <v>286</v>
      </c>
      <c r="L53" s="11">
        <f t="shared" si="1"/>
        <v>6.081818181818182</v>
      </c>
      <c r="M53" s="22">
        <v>7</v>
      </c>
      <c r="N53" s="22">
        <v>6</v>
      </c>
      <c r="O53" s="22">
        <v>6.2</v>
      </c>
      <c r="P53" s="22">
        <v>6</v>
      </c>
      <c r="Q53" s="22">
        <v>6</v>
      </c>
      <c r="R53" s="22">
        <v>5</v>
      </c>
      <c r="S53" s="22">
        <v>6.5</v>
      </c>
      <c r="T53" s="22">
        <v>6</v>
      </c>
      <c r="U53" s="22">
        <v>6</v>
      </c>
      <c r="V53" s="22">
        <v>6.5</v>
      </c>
      <c r="W53" s="22">
        <v>5.7</v>
      </c>
      <c r="X53" s="24" t="s">
        <v>48</v>
      </c>
      <c r="Y53" s="24" t="s">
        <v>93</v>
      </c>
      <c r="Z53" s="24" t="s">
        <v>268</v>
      </c>
      <c r="AA53" s="25" t="s">
        <v>55</v>
      </c>
      <c r="AB53" s="22"/>
      <c r="AC53" s="25"/>
      <c r="AD53" s="25"/>
      <c r="AE53" s="25"/>
      <c r="AF53" s="25"/>
      <c r="AG53" s="25"/>
      <c r="AH53" s="25"/>
      <c r="AI53" s="25"/>
      <c r="AJ53" s="25"/>
      <c r="AK53" s="25"/>
      <c r="AL53" s="25"/>
      <c r="AM53" s="25"/>
      <c r="AN53" s="25"/>
      <c r="AO53" s="25"/>
      <c r="AP53" s="25"/>
      <c r="AQ53" s="25"/>
      <c r="AR53" s="25"/>
      <c r="AS53" s="25"/>
    </row>
    <row r="54" spans="1:45" ht="51" hidden="1" x14ac:dyDescent="0.35">
      <c r="A54" s="22" t="s">
        <v>33</v>
      </c>
      <c r="B54" s="22" t="s">
        <v>59</v>
      </c>
      <c r="C54" s="22" t="s">
        <v>287</v>
      </c>
      <c r="D54" s="64">
        <v>2400000</v>
      </c>
      <c r="E54" t="s">
        <v>59</v>
      </c>
      <c r="F54" s="22" t="s">
        <v>288</v>
      </c>
      <c r="G54" s="24" t="s">
        <v>53</v>
      </c>
      <c r="H54" s="24" t="s">
        <v>289</v>
      </c>
      <c r="I54" s="24" t="s">
        <v>38</v>
      </c>
      <c r="J54" s="24" t="s">
        <v>290</v>
      </c>
      <c r="K54" t="s">
        <v>722</v>
      </c>
      <c r="L54" s="11">
        <f t="shared" si="1"/>
        <v>4.9090909090909092</v>
      </c>
      <c r="M54" s="22">
        <v>8</v>
      </c>
      <c r="N54" s="22">
        <v>8</v>
      </c>
      <c r="O54" s="22">
        <v>8</v>
      </c>
      <c r="P54" s="22">
        <v>7.5</v>
      </c>
      <c r="Q54" s="22">
        <v>7.5</v>
      </c>
      <c r="R54" s="22">
        <v>7.5</v>
      </c>
      <c r="S54" s="22"/>
      <c r="T54" s="22"/>
      <c r="U54" s="22"/>
      <c r="V54" s="22"/>
      <c r="W54" s="22">
        <v>7.5</v>
      </c>
      <c r="X54" s="24" t="s">
        <v>38</v>
      </c>
      <c r="Y54" s="24" t="s">
        <v>36</v>
      </c>
      <c r="Z54" s="24" t="s">
        <v>102</v>
      </c>
      <c r="AA54" s="25" t="s">
        <v>55</v>
      </c>
      <c r="AB54" s="22"/>
      <c r="AC54" s="25"/>
      <c r="AD54" s="25"/>
      <c r="AE54" s="25"/>
      <c r="AF54" s="25"/>
      <c r="AG54" s="25"/>
      <c r="AH54" s="25"/>
      <c r="AI54" s="25"/>
      <c r="AJ54" s="25"/>
      <c r="AK54" s="25"/>
      <c r="AL54" s="25"/>
      <c r="AM54" s="25"/>
      <c r="AN54" s="25"/>
      <c r="AO54" s="25"/>
      <c r="AP54" s="25"/>
      <c r="AQ54" s="25"/>
      <c r="AR54" s="25"/>
      <c r="AS54" s="25"/>
    </row>
    <row r="55" spans="1:45" ht="12.75" x14ac:dyDescent="0.35">
      <c r="A55" s="18" t="s">
        <v>170</v>
      </c>
      <c r="B55" s="18" t="s">
        <v>160</v>
      </c>
      <c r="C55" s="18" t="s">
        <v>291</v>
      </c>
      <c r="D55" s="64">
        <v>299000</v>
      </c>
      <c r="E55" s="24"/>
      <c r="F55" t="s">
        <v>691</v>
      </c>
      <c r="G55" s="19" t="s">
        <v>66</v>
      </c>
      <c r="H55" s="19" t="s">
        <v>292</v>
      </c>
      <c r="I55" s="19" t="s">
        <v>42</v>
      </c>
      <c r="J55" s="19" t="s">
        <v>272</v>
      </c>
      <c r="K55" s="19" t="s">
        <v>48</v>
      </c>
      <c r="L55" s="11">
        <f t="shared" si="1"/>
        <v>6.0090909090909088</v>
      </c>
      <c r="M55" s="19">
        <v>6.5</v>
      </c>
      <c r="N55" s="19">
        <v>6</v>
      </c>
      <c r="O55" s="19">
        <v>6.4</v>
      </c>
      <c r="P55" s="19">
        <v>5</v>
      </c>
      <c r="Q55" s="19">
        <v>6</v>
      </c>
      <c r="R55" s="19">
        <v>5</v>
      </c>
      <c r="S55" s="19">
        <v>6.5</v>
      </c>
      <c r="T55" s="19">
        <v>6</v>
      </c>
      <c r="U55" s="19">
        <v>6</v>
      </c>
      <c r="V55" s="19">
        <v>7</v>
      </c>
      <c r="W55" s="19">
        <v>5.7</v>
      </c>
      <c r="X55" s="19" t="s">
        <v>48</v>
      </c>
      <c r="Y55" s="19" t="s">
        <v>93</v>
      </c>
      <c r="Z55" s="19" t="s">
        <v>293</v>
      </c>
      <c r="AA55" s="20" t="s">
        <v>48</v>
      </c>
      <c r="AB55" s="21"/>
      <c r="AC55" s="20"/>
      <c r="AD55" s="20"/>
      <c r="AE55" s="20"/>
      <c r="AF55" s="20"/>
      <c r="AG55" s="20"/>
      <c r="AH55" s="20"/>
      <c r="AI55" s="20"/>
      <c r="AJ55" s="20"/>
      <c r="AK55" s="20"/>
      <c r="AL55" s="20"/>
      <c r="AM55" s="20"/>
      <c r="AN55" s="20"/>
      <c r="AO55" s="20"/>
      <c r="AP55" s="20"/>
      <c r="AQ55" s="20"/>
      <c r="AR55" s="20"/>
      <c r="AS55" s="20"/>
    </row>
    <row r="56" spans="1:45" ht="102" x14ac:dyDescent="0.35">
      <c r="A56" s="18" t="s">
        <v>170</v>
      </c>
      <c r="B56" s="18" t="s">
        <v>160</v>
      </c>
      <c r="C56" s="18" t="s">
        <v>294</v>
      </c>
      <c r="D56" s="65" t="s">
        <v>656</v>
      </c>
      <c r="E56" t="s">
        <v>170</v>
      </c>
      <c r="F56" s="59" t="s">
        <v>751</v>
      </c>
      <c r="G56" s="19" t="s">
        <v>60</v>
      </c>
      <c r="H56" s="19" t="s">
        <v>295</v>
      </c>
      <c r="I56" s="19" t="s">
        <v>42</v>
      </c>
      <c r="J56" s="19" t="s">
        <v>263</v>
      </c>
      <c r="K56" t="s">
        <v>720</v>
      </c>
      <c r="L56" s="11">
        <f t="shared" si="1"/>
        <v>5.7727272727272725</v>
      </c>
      <c r="M56" s="19">
        <v>6.5</v>
      </c>
      <c r="N56" s="19">
        <v>6</v>
      </c>
      <c r="O56" s="19">
        <v>6</v>
      </c>
      <c r="P56" s="19">
        <v>6</v>
      </c>
      <c r="Q56" s="19">
        <v>6</v>
      </c>
      <c r="R56" s="19">
        <v>5</v>
      </c>
      <c r="S56" s="19">
        <v>5</v>
      </c>
      <c r="T56" s="19">
        <v>6</v>
      </c>
      <c r="U56" s="19">
        <v>5</v>
      </c>
      <c r="V56" s="19">
        <v>7</v>
      </c>
      <c r="W56" s="19">
        <v>5</v>
      </c>
      <c r="X56" s="19" t="s">
        <v>38</v>
      </c>
      <c r="Y56" s="19" t="s">
        <v>296</v>
      </c>
      <c r="Z56" s="19" t="s">
        <v>268</v>
      </c>
      <c r="AA56" s="20" t="s">
        <v>48</v>
      </c>
      <c r="AB56" s="21"/>
      <c r="AC56" s="20"/>
      <c r="AD56" s="20"/>
      <c r="AE56" s="20"/>
      <c r="AF56" s="20"/>
      <c r="AG56" s="20"/>
      <c r="AH56" s="20"/>
      <c r="AI56" s="20"/>
      <c r="AJ56" s="20"/>
      <c r="AK56" s="20"/>
      <c r="AL56" s="20"/>
      <c r="AM56" s="20"/>
      <c r="AN56" s="20"/>
      <c r="AO56" s="20"/>
      <c r="AP56" s="20"/>
      <c r="AQ56" s="20"/>
      <c r="AR56" s="20"/>
      <c r="AS56" s="20"/>
    </row>
    <row r="57" spans="1:45" ht="51" hidden="1" x14ac:dyDescent="0.35">
      <c r="A57" s="22" t="s">
        <v>167</v>
      </c>
      <c r="B57" s="22" t="s">
        <v>59</v>
      </c>
      <c r="C57" t="s">
        <v>297</v>
      </c>
      <c r="D57" s="64">
        <v>1700000</v>
      </c>
      <c r="E57" t="s">
        <v>298</v>
      </c>
      <c r="F57" s="22" t="s">
        <v>299</v>
      </c>
      <c r="G57" s="24" t="s">
        <v>53</v>
      </c>
      <c r="H57" s="24" t="s">
        <v>300</v>
      </c>
      <c r="I57" s="24" t="s">
        <v>152</v>
      </c>
      <c r="J57" s="30" t="s">
        <v>290</v>
      </c>
      <c r="K57" s="22" t="s">
        <v>301</v>
      </c>
      <c r="L57" s="11">
        <f t="shared" si="1"/>
        <v>4.2727272727272725</v>
      </c>
      <c r="M57" s="22">
        <v>7</v>
      </c>
      <c r="N57" s="22">
        <v>7</v>
      </c>
      <c r="O57" s="22">
        <v>6.5</v>
      </c>
      <c r="P57" s="22">
        <v>6.5</v>
      </c>
      <c r="Q57" s="22">
        <v>6.5</v>
      </c>
      <c r="R57" s="22">
        <v>7</v>
      </c>
      <c r="S57" s="22"/>
      <c r="T57" s="22"/>
      <c r="U57" s="22"/>
      <c r="V57" s="22"/>
      <c r="W57" s="22">
        <v>6.5</v>
      </c>
      <c r="X57" s="24" t="s">
        <v>38</v>
      </c>
      <c r="Y57" s="24" t="s">
        <v>36</v>
      </c>
      <c r="Z57" s="24" t="s">
        <v>302</v>
      </c>
      <c r="AA57" s="25" t="s">
        <v>55</v>
      </c>
      <c r="AB57" s="22"/>
      <c r="AC57" s="25" t="e">
        <f>VLOOKUP(C57:D107,2,0)</f>
        <v>#VALUE!</v>
      </c>
      <c r="AD57" s="25"/>
      <c r="AE57" s="25"/>
      <c r="AF57" s="25"/>
      <c r="AG57" s="25"/>
      <c r="AH57" s="25"/>
      <c r="AI57" s="25"/>
      <c r="AJ57" s="25"/>
      <c r="AK57" s="25"/>
      <c r="AL57" s="25"/>
      <c r="AM57" s="25"/>
      <c r="AN57" s="25"/>
      <c r="AO57" s="25"/>
      <c r="AP57" s="25"/>
      <c r="AQ57" s="25"/>
      <c r="AR57" s="25"/>
      <c r="AS57" s="25"/>
    </row>
    <row r="58" spans="1:45" ht="63.75" x14ac:dyDescent="0.35">
      <c r="A58" s="22" t="s">
        <v>170</v>
      </c>
      <c r="B58" s="22" t="s">
        <v>59</v>
      </c>
      <c r="C58" s="22" t="s">
        <v>303</v>
      </c>
      <c r="D58" s="64">
        <v>959000</v>
      </c>
      <c r="E58" t="s">
        <v>70</v>
      </c>
      <c r="F58" s="23" t="s">
        <v>304</v>
      </c>
      <c r="G58" s="24" t="s">
        <v>305</v>
      </c>
      <c r="H58" s="24" t="s">
        <v>306</v>
      </c>
      <c r="I58" s="24" t="s">
        <v>307</v>
      </c>
      <c r="J58" s="24" t="s">
        <v>308</v>
      </c>
      <c r="K58" t="s">
        <v>723</v>
      </c>
      <c r="L58" s="11">
        <f t="shared" si="1"/>
        <v>7.3636363636363633</v>
      </c>
      <c r="M58" s="24">
        <v>7.5</v>
      </c>
      <c r="N58" s="24">
        <v>7.5</v>
      </c>
      <c r="O58" s="24">
        <v>7</v>
      </c>
      <c r="P58" s="24">
        <v>7.5</v>
      </c>
      <c r="Q58" s="24">
        <v>7</v>
      </c>
      <c r="R58" s="24">
        <v>7</v>
      </c>
      <c r="S58" s="24">
        <v>8</v>
      </c>
      <c r="T58" s="24">
        <v>7.5</v>
      </c>
      <c r="U58" s="24">
        <v>7</v>
      </c>
      <c r="V58" s="24">
        <v>8</v>
      </c>
      <c r="W58" s="24">
        <v>7</v>
      </c>
      <c r="X58" s="24" t="s">
        <v>309</v>
      </c>
      <c r="Y58" s="22" t="s">
        <v>310</v>
      </c>
      <c r="Z58" s="24" t="s">
        <v>102</v>
      </c>
      <c r="AA58" s="25" t="s">
        <v>50</v>
      </c>
      <c r="AB58" t="s">
        <v>311</v>
      </c>
      <c r="AC58" s="25"/>
      <c r="AD58" s="25"/>
      <c r="AE58" s="25"/>
      <c r="AF58" s="25"/>
      <c r="AG58" s="25"/>
      <c r="AH58" s="25"/>
      <c r="AI58" s="25"/>
      <c r="AJ58" s="25"/>
      <c r="AK58" s="25"/>
      <c r="AL58" s="25"/>
      <c r="AM58" s="25"/>
      <c r="AN58" s="25"/>
      <c r="AO58" s="25"/>
      <c r="AP58" s="25"/>
      <c r="AQ58" s="25"/>
      <c r="AR58" s="25"/>
      <c r="AS58" s="25"/>
    </row>
    <row r="59" spans="1:45" ht="63.75" x14ac:dyDescent="0.35">
      <c r="A59" s="22" t="s">
        <v>170</v>
      </c>
      <c r="B59" s="22" t="s">
        <v>170</v>
      </c>
      <c r="C59" s="22" t="s">
        <v>312</v>
      </c>
      <c r="D59" s="65" t="s">
        <v>657</v>
      </c>
      <c r="E59" t="s">
        <v>33</v>
      </c>
      <c r="F59" s="23" t="s">
        <v>313</v>
      </c>
      <c r="G59" s="24" t="s">
        <v>71</v>
      </c>
      <c r="H59" s="24" t="s">
        <v>314</v>
      </c>
      <c r="I59" s="24" t="s">
        <v>307</v>
      </c>
      <c r="J59" s="24" t="s">
        <v>308</v>
      </c>
      <c r="K59" t="s">
        <v>714</v>
      </c>
      <c r="L59" s="11">
        <f t="shared" si="1"/>
        <v>6.6363636363636367</v>
      </c>
      <c r="M59" s="24">
        <v>7.5</v>
      </c>
      <c r="N59" s="24">
        <v>7</v>
      </c>
      <c r="O59" s="24">
        <v>6</v>
      </c>
      <c r="P59" s="24">
        <v>6</v>
      </c>
      <c r="Q59" s="24">
        <v>7</v>
      </c>
      <c r="R59" s="24">
        <v>6.5</v>
      </c>
      <c r="S59" s="24">
        <v>6.5</v>
      </c>
      <c r="T59" s="24">
        <v>6.5</v>
      </c>
      <c r="U59" s="24">
        <v>6.5</v>
      </c>
      <c r="V59" s="24">
        <v>7</v>
      </c>
      <c r="W59" s="24">
        <v>6.5</v>
      </c>
      <c r="X59" s="24" t="s">
        <v>315</v>
      </c>
      <c r="Y59" s="22" t="s">
        <v>316</v>
      </c>
      <c r="Z59" s="24" t="s">
        <v>57</v>
      </c>
      <c r="AA59" s="25" t="s">
        <v>55</v>
      </c>
      <c r="AB59" s="26"/>
      <c r="AC59" s="25"/>
      <c r="AD59" s="25"/>
      <c r="AE59" s="25"/>
      <c r="AF59" s="25"/>
      <c r="AG59" s="25"/>
      <c r="AH59" s="25"/>
      <c r="AI59" s="25"/>
      <c r="AJ59" s="25"/>
      <c r="AK59" s="25"/>
      <c r="AL59" s="25"/>
      <c r="AM59" s="25"/>
      <c r="AN59" s="25"/>
      <c r="AO59" s="25"/>
      <c r="AP59" s="25"/>
      <c r="AQ59" s="25"/>
      <c r="AR59" s="25"/>
      <c r="AS59" s="25"/>
    </row>
    <row r="60" spans="1:45" ht="38.25" x14ac:dyDescent="0.35">
      <c r="A60" s="22" t="s">
        <v>170</v>
      </c>
      <c r="B60" s="22" t="s">
        <v>170</v>
      </c>
      <c r="C60" t="s">
        <v>317</v>
      </c>
      <c r="D60" s="65" t="s">
        <v>658</v>
      </c>
      <c r="E60" t="s">
        <v>70</v>
      </c>
      <c r="F60" s="23" t="s">
        <v>318</v>
      </c>
      <c r="G60" s="24" t="s">
        <v>71</v>
      </c>
      <c r="H60" s="24" t="s">
        <v>319</v>
      </c>
      <c r="I60" s="24" t="s">
        <v>307</v>
      </c>
      <c r="J60" s="24" t="s">
        <v>320</v>
      </c>
      <c r="K60" s="24" t="s">
        <v>215</v>
      </c>
      <c r="L60" s="11">
        <f t="shared" si="1"/>
        <v>6.5909090909090908</v>
      </c>
      <c r="M60" s="24">
        <v>7.5</v>
      </c>
      <c r="N60" s="24">
        <v>7.5</v>
      </c>
      <c r="O60" s="24">
        <v>7</v>
      </c>
      <c r="P60" s="24">
        <v>7</v>
      </c>
      <c r="Q60" s="24">
        <v>7</v>
      </c>
      <c r="R60" s="24">
        <v>6</v>
      </c>
      <c r="S60" s="24">
        <v>6</v>
      </c>
      <c r="T60" s="24">
        <v>6</v>
      </c>
      <c r="U60" s="24">
        <v>6</v>
      </c>
      <c r="V60" s="24">
        <v>6</v>
      </c>
      <c r="W60" s="24">
        <v>6.5</v>
      </c>
      <c r="X60" s="24" t="s">
        <v>38</v>
      </c>
      <c r="Y60" s="22" t="s">
        <v>321</v>
      </c>
      <c r="Z60" s="24" t="s">
        <v>79</v>
      </c>
      <c r="AA60" s="25" t="s">
        <v>48</v>
      </c>
      <c r="AB60" s="26"/>
      <c r="AC60" s="25"/>
      <c r="AD60" s="25"/>
      <c r="AE60" s="25"/>
      <c r="AF60" s="25"/>
      <c r="AG60" s="25"/>
      <c r="AH60" s="25"/>
      <c r="AI60" s="25"/>
      <c r="AJ60" s="25"/>
      <c r="AK60" s="25"/>
      <c r="AL60" s="25"/>
      <c r="AM60" s="25"/>
      <c r="AN60" s="25"/>
      <c r="AO60" s="25"/>
      <c r="AP60" s="25"/>
      <c r="AQ60" s="25"/>
      <c r="AR60" s="25"/>
      <c r="AS60" s="25"/>
    </row>
    <row r="61" spans="1:45" ht="63.75" x14ac:dyDescent="0.35">
      <c r="A61" s="22" t="s">
        <v>170</v>
      </c>
      <c r="B61" s="22" t="s">
        <v>170</v>
      </c>
      <c r="C61" s="22" t="s">
        <v>322</v>
      </c>
      <c r="D61" s="64">
        <v>639000</v>
      </c>
      <c r="E61" t="s">
        <v>167</v>
      </c>
      <c r="F61" s="22" t="s">
        <v>323</v>
      </c>
      <c r="G61" s="24" t="s">
        <v>324</v>
      </c>
      <c r="H61" s="24" t="s">
        <v>325</v>
      </c>
      <c r="I61" s="24" t="s">
        <v>38</v>
      </c>
      <c r="J61" s="24" t="s">
        <v>38</v>
      </c>
      <c r="K61" t="s">
        <v>724</v>
      </c>
      <c r="L61" s="11">
        <f t="shared" si="1"/>
        <v>6.5</v>
      </c>
      <c r="M61" s="22">
        <v>7.5</v>
      </c>
      <c r="N61" s="22">
        <v>7.5</v>
      </c>
      <c r="O61" s="22">
        <v>6.5</v>
      </c>
      <c r="P61" s="22">
        <v>6</v>
      </c>
      <c r="Q61" s="22">
        <v>6</v>
      </c>
      <c r="R61" s="22">
        <v>7</v>
      </c>
      <c r="S61" s="22">
        <v>6</v>
      </c>
      <c r="T61" s="22">
        <v>6</v>
      </c>
      <c r="U61" s="22">
        <v>6</v>
      </c>
      <c r="V61" s="22">
        <v>6.5</v>
      </c>
      <c r="W61" s="22">
        <v>6.5</v>
      </c>
      <c r="X61" s="24" t="s">
        <v>48</v>
      </c>
      <c r="Y61" s="24" t="s">
        <v>93</v>
      </c>
      <c r="Z61" s="24" t="s">
        <v>180</v>
      </c>
      <c r="AA61" s="25" t="s">
        <v>55</v>
      </c>
      <c r="AB61" t="s">
        <v>311</v>
      </c>
      <c r="AC61" s="25"/>
      <c r="AD61" s="25"/>
      <c r="AE61" s="25"/>
      <c r="AF61" s="25"/>
      <c r="AG61" s="25"/>
      <c r="AH61" s="25"/>
      <c r="AI61" s="25"/>
      <c r="AJ61" s="25"/>
      <c r="AK61" s="25"/>
      <c r="AL61" s="25"/>
      <c r="AM61" s="25"/>
      <c r="AN61" s="25"/>
      <c r="AO61" s="25"/>
      <c r="AP61" s="25"/>
      <c r="AQ61" s="25"/>
      <c r="AR61" s="25"/>
      <c r="AS61" s="25"/>
    </row>
    <row r="62" spans="1:45" ht="63.75" x14ac:dyDescent="0.35">
      <c r="A62" s="22" t="s">
        <v>170</v>
      </c>
      <c r="B62" s="22" t="s">
        <v>42</v>
      </c>
      <c r="C62" s="22" t="s">
        <v>326</v>
      </c>
      <c r="D62" s="64">
        <v>1299000</v>
      </c>
      <c r="E62" t="s">
        <v>170</v>
      </c>
      <c r="F62" t="s">
        <v>692</v>
      </c>
      <c r="G62" s="24" t="s">
        <v>71</v>
      </c>
      <c r="H62" s="24" t="s">
        <v>327</v>
      </c>
      <c r="I62" s="24" t="s">
        <v>328</v>
      </c>
      <c r="J62" s="24" t="s">
        <v>196</v>
      </c>
      <c r="K62" s="22" t="s">
        <v>329</v>
      </c>
      <c r="L62" s="11">
        <f t="shared" si="1"/>
        <v>6.1818181818181817</v>
      </c>
      <c r="M62" s="22">
        <v>7</v>
      </c>
      <c r="N62" s="22">
        <v>6.5</v>
      </c>
      <c r="O62" s="22">
        <v>7.5</v>
      </c>
      <c r="P62" s="22">
        <v>6</v>
      </c>
      <c r="Q62" s="22">
        <v>7</v>
      </c>
      <c r="R62" s="22">
        <v>6</v>
      </c>
      <c r="S62" s="22">
        <v>5</v>
      </c>
      <c r="T62" s="22">
        <v>5</v>
      </c>
      <c r="U62" s="22">
        <v>4.5</v>
      </c>
      <c r="V62" s="22">
        <v>7</v>
      </c>
      <c r="W62" s="22">
        <v>6.5</v>
      </c>
      <c r="X62" s="24" t="s">
        <v>48</v>
      </c>
      <c r="Y62" s="24" t="s">
        <v>330</v>
      </c>
      <c r="Z62" s="24" t="s">
        <v>57</v>
      </c>
      <c r="AA62" s="25" t="s">
        <v>55</v>
      </c>
      <c r="AB62" s="22"/>
      <c r="AC62" s="25"/>
      <c r="AD62" s="25"/>
      <c r="AE62" s="25"/>
      <c r="AF62" s="25"/>
      <c r="AG62" s="25"/>
      <c r="AH62" s="25"/>
      <c r="AI62" s="25"/>
      <c r="AJ62" s="25"/>
      <c r="AK62" s="25"/>
      <c r="AL62" s="25"/>
      <c r="AM62" s="25"/>
      <c r="AN62" s="25"/>
      <c r="AO62" s="25"/>
      <c r="AP62" s="25"/>
      <c r="AQ62" s="25"/>
      <c r="AR62" s="25"/>
      <c r="AS62" s="25"/>
    </row>
    <row r="63" spans="1:45" ht="63.75" x14ac:dyDescent="0.35">
      <c r="A63" s="22" t="s">
        <v>170</v>
      </c>
      <c r="B63" s="22" t="s">
        <v>59</v>
      </c>
      <c r="C63" t="s">
        <v>649</v>
      </c>
      <c r="D63" s="65" t="s">
        <v>659</v>
      </c>
      <c r="E63" t="s">
        <v>59</v>
      </c>
      <c r="F63" t="s">
        <v>693</v>
      </c>
      <c r="G63" s="24" t="s">
        <v>60</v>
      </c>
      <c r="H63" s="24" t="s">
        <v>331</v>
      </c>
      <c r="I63" s="24" t="s">
        <v>328</v>
      </c>
      <c r="J63" s="24" t="s">
        <v>196</v>
      </c>
      <c r="K63" s="22" t="s">
        <v>329</v>
      </c>
      <c r="L63" s="11">
        <f t="shared" si="1"/>
        <v>6.8636363636363633</v>
      </c>
      <c r="M63" s="22">
        <v>7</v>
      </c>
      <c r="N63" s="22">
        <v>7</v>
      </c>
      <c r="O63" s="22">
        <v>7.5</v>
      </c>
      <c r="P63" s="22">
        <v>6.5</v>
      </c>
      <c r="Q63" s="22">
        <v>7</v>
      </c>
      <c r="R63" s="22">
        <v>6</v>
      </c>
      <c r="S63" s="22">
        <v>7.5</v>
      </c>
      <c r="T63" s="22">
        <v>6.5</v>
      </c>
      <c r="U63" s="22">
        <v>7</v>
      </c>
      <c r="V63" s="22">
        <v>7</v>
      </c>
      <c r="W63" s="22">
        <v>6.5</v>
      </c>
      <c r="X63" s="24" t="s">
        <v>332</v>
      </c>
      <c r="Y63" s="24" t="s">
        <v>36</v>
      </c>
      <c r="Z63" s="24" t="s">
        <v>57</v>
      </c>
      <c r="AA63" s="25" t="s">
        <v>55</v>
      </c>
      <c r="AB63" s="22"/>
      <c r="AC63" s="25"/>
      <c r="AD63" s="25"/>
      <c r="AE63" s="25"/>
      <c r="AF63" s="25"/>
      <c r="AG63" s="25"/>
      <c r="AH63" s="25"/>
      <c r="AI63" s="25"/>
      <c r="AJ63" s="25"/>
      <c r="AK63" s="25"/>
      <c r="AL63" s="25"/>
      <c r="AM63" s="25"/>
      <c r="AN63" s="25"/>
      <c r="AO63" s="25"/>
      <c r="AP63" s="25"/>
      <c r="AQ63" s="25"/>
      <c r="AR63" s="25"/>
      <c r="AS63" s="25"/>
    </row>
    <row r="64" spans="1:45" ht="51" x14ac:dyDescent="0.35">
      <c r="A64" s="22" t="s">
        <v>170</v>
      </c>
      <c r="B64" s="22" t="s">
        <v>229</v>
      </c>
      <c r="C64" s="22" t="s">
        <v>333</v>
      </c>
      <c r="D64" s="64">
        <v>1200000</v>
      </c>
      <c r="E64" s="24" t="s">
        <v>39</v>
      </c>
      <c r="F64" s="22" t="s">
        <v>334</v>
      </c>
      <c r="G64" s="24" t="s">
        <v>71</v>
      </c>
      <c r="H64" s="24" t="s">
        <v>327</v>
      </c>
      <c r="I64" s="24" t="s">
        <v>170</v>
      </c>
      <c r="J64" s="24" t="s">
        <v>196</v>
      </c>
      <c r="K64" s="22" t="s">
        <v>215</v>
      </c>
      <c r="L64" s="11">
        <f t="shared" si="1"/>
        <v>6.8636363636363633</v>
      </c>
      <c r="M64" s="22">
        <v>7</v>
      </c>
      <c r="N64" s="22">
        <v>7</v>
      </c>
      <c r="O64" s="22">
        <v>7.5</v>
      </c>
      <c r="P64" s="22">
        <v>6.5</v>
      </c>
      <c r="Q64" s="22">
        <v>7</v>
      </c>
      <c r="R64" s="22">
        <v>6</v>
      </c>
      <c r="S64" s="22">
        <v>7.5</v>
      </c>
      <c r="T64" s="22">
        <v>6.5</v>
      </c>
      <c r="U64" s="22">
        <v>7</v>
      </c>
      <c r="V64" s="22">
        <v>7</v>
      </c>
      <c r="W64" s="22">
        <v>6.5</v>
      </c>
      <c r="X64" s="24"/>
      <c r="Y64" s="24"/>
      <c r="Z64" s="24"/>
      <c r="AA64" s="25" t="s">
        <v>55</v>
      </c>
      <c r="AB64" s="22"/>
      <c r="AC64" s="25"/>
      <c r="AD64" s="25"/>
      <c r="AE64" s="25"/>
      <c r="AF64" s="25"/>
      <c r="AG64" s="25"/>
      <c r="AH64" s="25"/>
      <c r="AI64" s="25"/>
      <c r="AJ64" s="25"/>
      <c r="AK64" s="25"/>
      <c r="AL64" s="25"/>
      <c r="AM64" s="25"/>
      <c r="AN64" s="25"/>
      <c r="AO64" s="25"/>
      <c r="AP64" s="25"/>
      <c r="AQ64" s="25"/>
      <c r="AR64" s="25"/>
      <c r="AS64" s="25"/>
    </row>
    <row r="65" spans="1:45" ht="74.25" customHeight="1" x14ac:dyDescent="0.35">
      <c r="A65" s="22" t="s">
        <v>59</v>
      </c>
      <c r="B65" s="22" t="s">
        <v>59</v>
      </c>
      <c r="C65" t="s">
        <v>335</v>
      </c>
      <c r="D65" s="64">
        <v>1225000</v>
      </c>
      <c r="E65" s="24" t="s">
        <v>152</v>
      </c>
      <c r="F65" s="22" t="s">
        <v>336</v>
      </c>
      <c r="G65" s="24" t="s">
        <v>337</v>
      </c>
      <c r="H65" s="24" t="s">
        <v>338</v>
      </c>
      <c r="I65" s="24" t="s">
        <v>38</v>
      </c>
      <c r="J65" s="24" t="s">
        <v>38</v>
      </c>
      <c r="K65" s="22" t="s">
        <v>48</v>
      </c>
      <c r="L65" s="11">
        <f t="shared" si="1"/>
        <v>4.0454545454545459</v>
      </c>
      <c r="M65" s="22">
        <v>6.5</v>
      </c>
      <c r="N65" s="22">
        <v>6</v>
      </c>
      <c r="O65" s="22">
        <v>7</v>
      </c>
      <c r="P65" s="22">
        <v>6</v>
      </c>
      <c r="Q65" s="22">
        <v>6.5</v>
      </c>
      <c r="R65" s="22">
        <v>6</v>
      </c>
      <c r="S65" s="22"/>
      <c r="T65" s="22"/>
      <c r="U65" s="22"/>
      <c r="V65" s="22"/>
      <c r="W65" s="22">
        <v>6.5</v>
      </c>
      <c r="X65" s="24" t="s">
        <v>339</v>
      </c>
      <c r="Y65" s="24" t="s">
        <v>93</v>
      </c>
      <c r="Z65" s="24" t="s">
        <v>268</v>
      </c>
      <c r="AA65" s="25" t="s">
        <v>55</v>
      </c>
      <c r="AB65" s="22"/>
      <c r="AC65" s="25"/>
      <c r="AD65" s="25"/>
      <c r="AE65" s="25"/>
      <c r="AF65" s="25"/>
      <c r="AG65" s="25"/>
      <c r="AH65" s="25"/>
      <c r="AI65" s="25"/>
      <c r="AJ65" s="25"/>
      <c r="AK65" s="25"/>
      <c r="AL65" s="25"/>
      <c r="AM65" s="25"/>
      <c r="AN65" s="25"/>
      <c r="AO65" s="25"/>
      <c r="AP65" s="25"/>
      <c r="AQ65" s="25"/>
      <c r="AR65" s="25"/>
      <c r="AS65" s="25"/>
    </row>
    <row r="66" spans="1:45" ht="25.5" x14ac:dyDescent="0.35">
      <c r="A66" s="22" t="s">
        <v>170</v>
      </c>
      <c r="B66" s="22" t="s">
        <v>160</v>
      </c>
      <c r="C66" s="22" t="s">
        <v>340</v>
      </c>
      <c r="D66" s="64">
        <v>639000</v>
      </c>
      <c r="E66" s="24" t="s">
        <v>170</v>
      </c>
      <c r="F66" s="22" t="s">
        <v>341</v>
      </c>
      <c r="G66" s="24" t="s">
        <v>53</v>
      </c>
      <c r="H66" s="24" t="s">
        <v>342</v>
      </c>
      <c r="I66" s="24" t="s">
        <v>343</v>
      </c>
      <c r="J66" s="24" t="s">
        <v>42</v>
      </c>
      <c r="K66" s="22" t="s">
        <v>48</v>
      </c>
      <c r="L66" s="11">
        <f t="shared" si="1"/>
        <v>6.6363636363636367</v>
      </c>
      <c r="M66" s="22">
        <v>7</v>
      </c>
      <c r="N66" s="22">
        <v>7</v>
      </c>
      <c r="O66" s="22">
        <v>6.5</v>
      </c>
      <c r="P66" s="22">
        <v>6</v>
      </c>
      <c r="Q66" s="22">
        <v>6.5</v>
      </c>
      <c r="R66" s="22">
        <v>6</v>
      </c>
      <c r="S66" s="22">
        <v>7</v>
      </c>
      <c r="T66" s="22">
        <v>7</v>
      </c>
      <c r="U66" s="22">
        <v>6.5</v>
      </c>
      <c r="V66" s="22">
        <v>7</v>
      </c>
      <c r="W66" s="22">
        <v>6.5</v>
      </c>
      <c r="X66" s="24" t="s">
        <v>344</v>
      </c>
      <c r="Y66" s="24" t="s">
        <v>93</v>
      </c>
      <c r="Z66" s="24" t="s">
        <v>180</v>
      </c>
      <c r="AA66" s="25" t="s">
        <v>55</v>
      </c>
      <c r="AB66" s="22"/>
      <c r="AC66" s="25"/>
      <c r="AD66" s="25"/>
      <c r="AE66" s="25"/>
      <c r="AF66" s="25"/>
      <c r="AG66" s="25"/>
      <c r="AH66" s="25"/>
      <c r="AI66" s="25"/>
      <c r="AJ66" s="25"/>
      <c r="AK66" s="25"/>
      <c r="AL66" s="25"/>
      <c r="AM66" s="25"/>
      <c r="AN66" s="25"/>
      <c r="AO66" s="25"/>
      <c r="AP66" s="25"/>
      <c r="AQ66" s="25"/>
      <c r="AR66" s="25"/>
      <c r="AS66" s="25"/>
    </row>
    <row r="67" spans="1:45" ht="102" x14ac:dyDescent="0.35">
      <c r="A67" s="22" t="s">
        <v>152</v>
      </c>
      <c r="B67" s="22" t="s">
        <v>170</v>
      </c>
      <c r="C67" s="22" t="s">
        <v>345</v>
      </c>
      <c r="D67" s="64">
        <v>1290000</v>
      </c>
      <c r="E67" t="s">
        <v>40</v>
      </c>
      <c r="F67" s="22" t="s">
        <v>346</v>
      </c>
      <c r="G67" s="24" t="s">
        <v>60</v>
      </c>
      <c r="H67" s="24" t="s">
        <v>347</v>
      </c>
      <c r="I67" s="24" t="s">
        <v>38</v>
      </c>
      <c r="J67" s="24" t="s">
        <v>348</v>
      </c>
      <c r="K67" s="22" t="s">
        <v>349</v>
      </c>
      <c r="L67" s="11">
        <f t="shared" si="1"/>
        <v>6.5909090909090908</v>
      </c>
      <c r="M67" s="22">
        <v>6.5</v>
      </c>
      <c r="N67" s="22">
        <v>7</v>
      </c>
      <c r="O67" s="22">
        <v>6</v>
      </c>
      <c r="P67" s="22">
        <v>5.5</v>
      </c>
      <c r="Q67" s="22">
        <v>6</v>
      </c>
      <c r="R67" s="22">
        <v>7</v>
      </c>
      <c r="S67" s="22">
        <v>7</v>
      </c>
      <c r="T67" s="22">
        <v>7</v>
      </c>
      <c r="U67" s="22">
        <v>6.5</v>
      </c>
      <c r="V67" s="22">
        <v>7</v>
      </c>
      <c r="W67" s="22">
        <v>7</v>
      </c>
      <c r="X67" s="24" t="s">
        <v>48</v>
      </c>
      <c r="Y67" s="24" t="s">
        <v>93</v>
      </c>
      <c r="Z67" s="24" t="s">
        <v>102</v>
      </c>
      <c r="AA67" s="25" t="s">
        <v>48</v>
      </c>
      <c r="AB67" s="22"/>
      <c r="AC67" s="25"/>
      <c r="AD67" s="25"/>
      <c r="AE67" s="25"/>
      <c r="AF67" s="25"/>
      <c r="AG67" s="25"/>
      <c r="AH67" s="25"/>
      <c r="AI67" s="25"/>
      <c r="AJ67" s="25"/>
      <c r="AK67" s="25"/>
      <c r="AL67" s="25"/>
      <c r="AM67" s="25"/>
      <c r="AN67" s="25"/>
      <c r="AO67" s="25"/>
      <c r="AP67" s="25"/>
      <c r="AQ67" s="25"/>
      <c r="AR67" s="25"/>
      <c r="AS67" s="25"/>
    </row>
    <row r="68" spans="1:45" ht="25.5" x14ac:dyDescent="0.35">
      <c r="A68" s="22" t="s">
        <v>170</v>
      </c>
      <c r="B68" s="22" t="s">
        <v>170</v>
      </c>
      <c r="C68" s="22" t="s">
        <v>350</v>
      </c>
      <c r="D68" s="64">
        <v>524000</v>
      </c>
      <c r="E68" t="s">
        <v>42</v>
      </c>
      <c r="F68" s="22" t="s">
        <v>351</v>
      </c>
      <c r="G68" s="24" t="s">
        <v>53</v>
      </c>
      <c r="H68" s="24" t="s">
        <v>352</v>
      </c>
      <c r="I68" s="24" t="s">
        <v>38</v>
      </c>
      <c r="J68" s="24" t="s">
        <v>38</v>
      </c>
      <c r="K68" s="22" t="s">
        <v>48</v>
      </c>
      <c r="L68" s="11">
        <f t="shared" si="1"/>
        <v>6.9545454545454541</v>
      </c>
      <c r="M68" s="22">
        <v>7</v>
      </c>
      <c r="N68" s="22">
        <v>7.5</v>
      </c>
      <c r="O68" s="22">
        <v>6.5</v>
      </c>
      <c r="P68" s="22">
        <v>7</v>
      </c>
      <c r="Q68" s="22">
        <v>7</v>
      </c>
      <c r="R68" s="22">
        <v>7</v>
      </c>
      <c r="S68" s="22">
        <v>7</v>
      </c>
      <c r="T68" s="22">
        <v>7</v>
      </c>
      <c r="U68" s="22">
        <v>7</v>
      </c>
      <c r="V68" s="22">
        <v>7</v>
      </c>
      <c r="W68" s="22">
        <v>6.5</v>
      </c>
      <c r="X68" s="24" t="s">
        <v>48</v>
      </c>
      <c r="Y68" s="24" t="s">
        <v>93</v>
      </c>
      <c r="Z68" s="24" t="s">
        <v>102</v>
      </c>
      <c r="AA68" s="25" t="s">
        <v>55</v>
      </c>
      <c r="AB68" s="22"/>
      <c r="AC68" s="25"/>
      <c r="AD68" s="25"/>
      <c r="AE68" s="25"/>
      <c r="AF68" s="25"/>
      <c r="AG68" s="25"/>
      <c r="AH68" s="25"/>
      <c r="AI68" s="25"/>
      <c r="AJ68" s="25"/>
      <c r="AK68" s="25"/>
      <c r="AL68" s="25"/>
      <c r="AM68" s="25"/>
      <c r="AN68" s="25"/>
      <c r="AO68" s="25"/>
      <c r="AP68" s="25"/>
      <c r="AQ68" s="25"/>
      <c r="AR68" s="25"/>
      <c r="AS68" s="25"/>
    </row>
    <row r="69" spans="1:45" ht="63.75" x14ac:dyDescent="0.35">
      <c r="A69" s="22" t="s">
        <v>170</v>
      </c>
      <c r="B69" s="22" t="s">
        <v>353</v>
      </c>
      <c r="C69" s="22" t="s">
        <v>354</v>
      </c>
      <c r="D69" s="64">
        <v>1900000</v>
      </c>
      <c r="E69" t="s">
        <v>59</v>
      </c>
      <c r="F69" s="23" t="s">
        <v>355</v>
      </c>
      <c r="G69" s="24" t="s">
        <v>53</v>
      </c>
      <c r="H69" s="24" t="s">
        <v>356</v>
      </c>
      <c r="I69" s="24" t="s">
        <v>152</v>
      </c>
      <c r="J69" s="30" t="s">
        <v>290</v>
      </c>
      <c r="K69" t="s">
        <v>725</v>
      </c>
      <c r="L69" s="11">
        <f t="shared" si="1"/>
        <v>6.9090909090909092</v>
      </c>
      <c r="M69" s="24">
        <v>7</v>
      </c>
      <c r="N69" s="24">
        <v>6.5</v>
      </c>
      <c r="O69" s="24">
        <v>7</v>
      </c>
      <c r="P69" s="24">
        <v>7</v>
      </c>
      <c r="Q69" s="24">
        <v>7</v>
      </c>
      <c r="R69" s="24">
        <v>7</v>
      </c>
      <c r="S69" s="24">
        <v>7</v>
      </c>
      <c r="T69" s="24">
        <v>7</v>
      </c>
      <c r="U69" s="24">
        <v>6.5</v>
      </c>
      <c r="V69" s="24">
        <v>7</v>
      </c>
      <c r="W69" s="24">
        <v>7</v>
      </c>
      <c r="X69" s="24" t="s">
        <v>48</v>
      </c>
      <c r="Y69" s="22" t="s">
        <v>357</v>
      </c>
      <c r="Z69" s="24" t="s">
        <v>48</v>
      </c>
      <c r="AA69" s="25" t="s">
        <v>50</v>
      </c>
      <c r="AB69" t="s">
        <v>358</v>
      </c>
      <c r="AC69" s="25"/>
      <c r="AD69" s="25"/>
      <c r="AE69" s="25"/>
      <c r="AF69" s="25"/>
      <c r="AG69" s="25"/>
      <c r="AH69" s="25"/>
      <c r="AI69" s="25"/>
      <c r="AJ69" s="25"/>
      <c r="AK69" s="25"/>
      <c r="AL69" s="25"/>
      <c r="AM69" s="25"/>
      <c r="AN69" s="25"/>
      <c r="AO69" s="25"/>
      <c r="AP69" s="25"/>
      <c r="AQ69" s="25"/>
      <c r="AR69" s="25"/>
      <c r="AS69" s="25"/>
    </row>
    <row r="70" spans="1:45" ht="51" hidden="1" x14ac:dyDescent="0.35">
      <c r="A70" s="22" t="s">
        <v>59</v>
      </c>
      <c r="B70" s="22" t="s">
        <v>167</v>
      </c>
      <c r="C70" s="22" t="s">
        <v>359</v>
      </c>
      <c r="D70" s="64">
        <v>619000</v>
      </c>
      <c r="E70" t="s">
        <v>33</v>
      </c>
      <c r="F70" s="22" t="s">
        <v>360</v>
      </c>
      <c r="G70" s="22" t="s">
        <v>261</v>
      </c>
      <c r="H70" s="22" t="s">
        <v>361</v>
      </c>
      <c r="I70" s="22" t="s">
        <v>362</v>
      </c>
      <c r="J70" s="30" t="s">
        <v>290</v>
      </c>
      <c r="K70" s="22" t="s">
        <v>38</v>
      </c>
      <c r="L70" s="11">
        <f t="shared" si="1"/>
        <v>4.3181818181818183</v>
      </c>
      <c r="M70" s="22">
        <v>7</v>
      </c>
      <c r="N70" s="22">
        <v>7</v>
      </c>
      <c r="O70" s="22">
        <v>7</v>
      </c>
      <c r="P70" s="22">
        <v>7</v>
      </c>
      <c r="Q70" s="22">
        <v>6.5</v>
      </c>
      <c r="R70" s="22">
        <v>6.5</v>
      </c>
      <c r="S70" s="22"/>
      <c r="T70" s="22"/>
      <c r="U70" s="22"/>
      <c r="V70" s="22"/>
      <c r="W70" s="22">
        <v>6.5</v>
      </c>
      <c r="X70" s="22" t="s">
        <v>38</v>
      </c>
      <c r="Y70" s="22" t="s">
        <v>36</v>
      </c>
      <c r="Z70" s="22" t="s">
        <v>57</v>
      </c>
      <c r="AA70" s="25" t="s">
        <v>55</v>
      </c>
      <c r="AB70" s="22"/>
      <c r="AC70" s="25"/>
      <c r="AD70" s="25"/>
      <c r="AE70" s="25"/>
      <c r="AF70" s="25"/>
      <c r="AG70" s="25"/>
      <c r="AH70" s="25"/>
      <c r="AI70" s="25"/>
      <c r="AJ70" s="25"/>
      <c r="AK70" s="25"/>
      <c r="AL70" s="25"/>
      <c r="AM70" s="25"/>
      <c r="AN70" s="25"/>
      <c r="AO70" s="25"/>
      <c r="AP70" s="25"/>
      <c r="AQ70" s="25"/>
      <c r="AR70" s="25"/>
      <c r="AS70" s="25"/>
    </row>
    <row r="71" spans="1:45" ht="63.75" hidden="1" x14ac:dyDescent="0.35">
      <c r="A71" s="22" t="s">
        <v>59</v>
      </c>
      <c r="B71" s="22" t="s">
        <v>59</v>
      </c>
      <c r="C71" t="s">
        <v>363</v>
      </c>
      <c r="D71" s="64">
        <v>699000</v>
      </c>
      <c r="E71" t="s">
        <v>33</v>
      </c>
      <c r="F71" s="22" t="s">
        <v>364</v>
      </c>
      <c r="G71" s="22" t="s">
        <v>60</v>
      </c>
      <c r="H71" s="22" t="s">
        <v>365</v>
      </c>
      <c r="I71" s="22" t="s">
        <v>362</v>
      </c>
      <c r="J71" s="30" t="s">
        <v>290</v>
      </c>
      <c r="K71" s="22" t="s">
        <v>38</v>
      </c>
      <c r="L71" s="11">
        <f t="shared" si="1"/>
        <v>4.2727272727272725</v>
      </c>
      <c r="M71" s="22">
        <v>7</v>
      </c>
      <c r="N71" s="22">
        <v>6.5</v>
      </c>
      <c r="O71" s="22">
        <v>7</v>
      </c>
      <c r="P71" s="22">
        <v>7</v>
      </c>
      <c r="Q71" s="22">
        <v>6.5</v>
      </c>
      <c r="R71" s="22">
        <v>6.5</v>
      </c>
      <c r="S71" s="22"/>
      <c r="T71" s="22"/>
      <c r="U71" s="22"/>
      <c r="V71" s="22"/>
      <c r="W71" s="22">
        <v>6.5</v>
      </c>
      <c r="X71" s="22" t="s">
        <v>38</v>
      </c>
      <c r="Y71" s="22" t="s">
        <v>258</v>
      </c>
      <c r="Z71" s="22" t="s">
        <v>57</v>
      </c>
      <c r="AA71" s="25" t="s">
        <v>55</v>
      </c>
      <c r="AB71" s="22"/>
      <c r="AC71" s="25"/>
      <c r="AD71" s="25"/>
      <c r="AE71" s="25"/>
      <c r="AF71" s="25"/>
      <c r="AG71" s="25"/>
      <c r="AH71" s="25"/>
      <c r="AI71" s="25"/>
      <c r="AJ71" s="25"/>
      <c r="AK71" s="25"/>
      <c r="AL71" s="25"/>
      <c r="AM71" s="25"/>
      <c r="AN71" s="25"/>
      <c r="AO71" s="25"/>
      <c r="AP71" s="25"/>
      <c r="AQ71" s="25"/>
      <c r="AR71" s="25"/>
      <c r="AS71" s="25"/>
    </row>
    <row r="72" spans="1:45" ht="38.25" hidden="1" x14ac:dyDescent="0.35">
      <c r="A72" s="22" t="s">
        <v>59</v>
      </c>
      <c r="B72" s="22" t="s">
        <v>59</v>
      </c>
      <c r="C72" s="22" t="s">
        <v>366</v>
      </c>
      <c r="D72" s="64">
        <v>848000</v>
      </c>
      <c r="E72" t="s">
        <v>33</v>
      </c>
      <c r="F72" s="22" t="s">
        <v>367</v>
      </c>
      <c r="G72" s="24" t="s">
        <v>53</v>
      </c>
      <c r="H72" s="24" t="s">
        <v>267</v>
      </c>
      <c r="I72" s="24" t="s">
        <v>48</v>
      </c>
      <c r="J72" s="30" t="s">
        <v>238</v>
      </c>
      <c r="K72" s="24" t="s">
        <v>368</v>
      </c>
      <c r="L72" s="11">
        <f t="shared" si="1"/>
        <v>4.5909090909090908</v>
      </c>
      <c r="M72" s="24">
        <v>7.5</v>
      </c>
      <c r="N72" s="24">
        <v>7</v>
      </c>
      <c r="O72" s="24">
        <v>7.5</v>
      </c>
      <c r="P72" s="24">
        <v>7</v>
      </c>
      <c r="Q72" s="24">
        <v>7</v>
      </c>
      <c r="R72" s="24">
        <v>7.5</v>
      </c>
      <c r="S72" s="24" t="s">
        <v>39</v>
      </c>
      <c r="T72" s="24" t="s">
        <v>39</v>
      </c>
      <c r="U72" s="24" t="s">
        <v>39</v>
      </c>
      <c r="V72" s="24" t="s">
        <v>39</v>
      </c>
      <c r="W72" s="24">
        <v>7</v>
      </c>
      <c r="X72" s="24" t="s">
        <v>38</v>
      </c>
      <c r="Y72" s="24" t="s">
        <v>369</v>
      </c>
      <c r="Z72" s="24" t="s">
        <v>370</v>
      </c>
      <c r="AA72" s="25" t="s">
        <v>55</v>
      </c>
      <c r="AB72" s="26"/>
      <c r="AC72" s="25"/>
      <c r="AD72" s="25"/>
      <c r="AE72" s="25"/>
      <c r="AF72" s="25"/>
      <c r="AG72" s="25"/>
      <c r="AH72" s="25"/>
      <c r="AI72" s="25"/>
      <c r="AJ72" s="25"/>
      <c r="AK72" s="25"/>
      <c r="AL72" s="25"/>
      <c r="AM72" s="25"/>
      <c r="AN72" s="25"/>
      <c r="AO72" s="25"/>
      <c r="AP72" s="25"/>
      <c r="AQ72" s="25"/>
      <c r="AR72" s="25"/>
      <c r="AS72" s="25"/>
    </row>
    <row r="73" spans="1:45" ht="63.75" hidden="1" x14ac:dyDescent="0.35">
      <c r="A73" s="22" t="s">
        <v>59</v>
      </c>
      <c r="B73" s="22" t="s">
        <v>70</v>
      </c>
      <c r="C73" s="22" t="s">
        <v>371</v>
      </c>
      <c r="D73" s="64">
        <v>1400000</v>
      </c>
      <c r="E73" t="s">
        <v>59</v>
      </c>
      <c r="F73" s="22" t="s">
        <v>372</v>
      </c>
      <c r="G73" s="24" t="s">
        <v>53</v>
      </c>
      <c r="H73" s="24" t="s">
        <v>373</v>
      </c>
      <c r="I73" s="24" t="s">
        <v>38</v>
      </c>
      <c r="J73" s="30" t="s">
        <v>290</v>
      </c>
      <c r="K73" s="24" t="s">
        <v>374</v>
      </c>
      <c r="L73" s="11">
        <f t="shared" si="1"/>
        <v>0</v>
      </c>
      <c r="M73" s="24"/>
      <c r="N73" s="24"/>
      <c r="O73" s="24"/>
      <c r="P73" s="24"/>
      <c r="Q73" s="24"/>
      <c r="R73" s="24"/>
      <c r="S73" s="24"/>
      <c r="T73" s="24"/>
      <c r="U73" s="24"/>
      <c r="V73" s="24"/>
      <c r="W73" s="24"/>
      <c r="X73" s="24" t="s">
        <v>38</v>
      </c>
      <c r="Y73" s="24" t="s">
        <v>36</v>
      </c>
      <c r="Z73" s="24" t="s">
        <v>370</v>
      </c>
      <c r="AA73" s="25"/>
      <c r="AB73" s="22"/>
      <c r="AC73" s="25"/>
      <c r="AD73" s="25"/>
      <c r="AE73" s="25"/>
      <c r="AF73" s="25"/>
      <c r="AG73" s="25"/>
      <c r="AH73" s="25"/>
      <c r="AI73" s="25"/>
      <c r="AJ73" s="25"/>
      <c r="AK73" s="25"/>
      <c r="AL73" s="25"/>
      <c r="AM73" s="25"/>
      <c r="AN73" s="25"/>
      <c r="AO73" s="25"/>
      <c r="AP73" s="25"/>
      <c r="AQ73" s="25"/>
      <c r="AR73" s="25"/>
      <c r="AS73" s="25"/>
    </row>
    <row r="74" spans="1:45" ht="63.75" x14ac:dyDescent="0.35">
      <c r="A74" s="18" t="s">
        <v>170</v>
      </c>
      <c r="B74" s="18" t="s">
        <v>170</v>
      </c>
      <c r="C74" s="18" t="s">
        <v>375</v>
      </c>
      <c r="D74" s="65" t="s">
        <v>660</v>
      </c>
      <c r="E74" t="s">
        <v>170</v>
      </c>
      <c r="F74" s="18" t="s">
        <v>376</v>
      </c>
      <c r="G74" s="31" t="s">
        <v>60</v>
      </c>
      <c r="H74" s="31" t="s">
        <v>377</v>
      </c>
      <c r="I74" s="18" t="s">
        <v>343</v>
      </c>
      <c r="J74" s="18" t="s">
        <v>378</v>
      </c>
      <c r="K74" s="18" t="s">
        <v>379</v>
      </c>
      <c r="L74" s="11">
        <f t="shared" si="1"/>
        <v>7.3636363636363633</v>
      </c>
      <c r="M74" s="18">
        <v>7.5</v>
      </c>
      <c r="N74" s="18">
        <v>7.5</v>
      </c>
      <c r="O74" s="18">
        <v>8</v>
      </c>
      <c r="P74" s="18">
        <v>8</v>
      </c>
      <c r="Q74" s="18">
        <v>7.5</v>
      </c>
      <c r="R74" s="18">
        <v>6.5</v>
      </c>
      <c r="S74" s="18">
        <v>7</v>
      </c>
      <c r="T74" s="18">
        <v>7</v>
      </c>
      <c r="U74" s="18">
        <v>7</v>
      </c>
      <c r="V74" s="18">
        <v>7</v>
      </c>
      <c r="W74" s="18">
        <v>8</v>
      </c>
      <c r="X74" s="18" t="s">
        <v>38</v>
      </c>
      <c r="Y74" s="18" t="s">
        <v>380</v>
      </c>
      <c r="Z74" s="18" t="s">
        <v>38</v>
      </c>
      <c r="AA74" s="20" t="s">
        <v>38</v>
      </c>
      <c r="AB74" s="18"/>
      <c r="AC74" s="20"/>
      <c r="AD74" s="20"/>
      <c r="AE74" s="20"/>
      <c r="AF74" s="20"/>
      <c r="AG74" s="20"/>
      <c r="AH74" s="20"/>
      <c r="AI74" s="20"/>
      <c r="AJ74" s="20"/>
      <c r="AK74" s="20"/>
      <c r="AL74" s="20"/>
      <c r="AM74" s="20"/>
      <c r="AN74" s="20"/>
      <c r="AO74" s="20"/>
      <c r="AP74" s="20"/>
      <c r="AQ74" s="20"/>
      <c r="AR74" s="20"/>
      <c r="AS74" s="20"/>
    </row>
    <row r="75" spans="1:45" ht="25.5" x14ac:dyDescent="0.35">
      <c r="A75" s="18" t="s">
        <v>170</v>
      </c>
      <c r="B75" s="18" t="s">
        <v>277</v>
      </c>
      <c r="C75" s="18" t="s">
        <v>381</v>
      </c>
      <c r="D75" s="64">
        <v>450000</v>
      </c>
      <c r="E75" s="22" t="s">
        <v>59</v>
      </c>
      <c r="F75" t="s">
        <v>694</v>
      </c>
      <c r="G75" s="31" t="s">
        <v>382</v>
      </c>
      <c r="H75" s="18" t="s">
        <v>383</v>
      </c>
      <c r="I75" s="18" t="s">
        <v>170</v>
      </c>
      <c r="J75" s="18" t="s">
        <v>378</v>
      </c>
      <c r="K75" s="18" t="s">
        <v>384</v>
      </c>
      <c r="L75" s="11">
        <f t="shared" si="1"/>
        <v>6.709090909090909</v>
      </c>
      <c r="M75" s="18">
        <v>7</v>
      </c>
      <c r="N75" s="18">
        <v>7</v>
      </c>
      <c r="O75" s="18">
        <v>6</v>
      </c>
      <c r="P75" s="18">
        <v>6.5</v>
      </c>
      <c r="Q75" s="18">
        <v>6.5</v>
      </c>
      <c r="R75" s="18">
        <v>6.5</v>
      </c>
      <c r="S75" s="18">
        <v>7</v>
      </c>
      <c r="T75" s="18">
        <v>7</v>
      </c>
      <c r="U75" s="18">
        <v>6.8</v>
      </c>
      <c r="V75" s="18">
        <v>7</v>
      </c>
      <c r="W75" s="18">
        <v>6.5</v>
      </c>
      <c r="X75" s="18" t="s">
        <v>101</v>
      </c>
      <c r="Y75" s="18" t="s">
        <v>239</v>
      </c>
      <c r="Z75" s="18" t="s">
        <v>49</v>
      </c>
      <c r="AA75" s="20" t="s">
        <v>48</v>
      </c>
      <c r="AB75" s="18"/>
      <c r="AC75" s="20"/>
      <c r="AD75" s="20"/>
      <c r="AE75" s="20"/>
      <c r="AF75" s="20"/>
      <c r="AG75" s="20"/>
      <c r="AH75" s="20"/>
      <c r="AI75" s="20"/>
      <c r="AJ75" s="20"/>
      <c r="AK75" s="20"/>
      <c r="AL75" s="20"/>
      <c r="AM75" s="20"/>
      <c r="AN75" s="20"/>
      <c r="AO75" s="20"/>
      <c r="AP75" s="20"/>
      <c r="AQ75" s="20"/>
      <c r="AR75" s="20"/>
      <c r="AS75" s="20"/>
    </row>
    <row r="76" spans="1:45" ht="89.25" x14ac:dyDescent="0.35">
      <c r="A76" s="18" t="s">
        <v>170</v>
      </c>
      <c r="B76" s="18" t="s">
        <v>170</v>
      </c>
      <c r="C76" s="18" t="s">
        <v>385</v>
      </c>
      <c r="D76" s="64">
        <v>388000</v>
      </c>
      <c r="E76" t="s">
        <v>59</v>
      </c>
      <c r="F76" s="18" t="s">
        <v>386</v>
      </c>
      <c r="G76" s="31" t="s">
        <v>60</v>
      </c>
      <c r="H76" s="18" t="s">
        <v>387</v>
      </c>
      <c r="I76" s="18" t="s">
        <v>229</v>
      </c>
      <c r="J76" s="18" t="s">
        <v>378</v>
      </c>
      <c r="K76" s="18" t="s">
        <v>388</v>
      </c>
      <c r="L76" s="11">
        <f t="shared" si="1"/>
        <v>6.1363636363636367</v>
      </c>
      <c r="M76" s="18">
        <v>7</v>
      </c>
      <c r="N76" s="18">
        <v>7</v>
      </c>
      <c r="O76" s="18">
        <v>6.5</v>
      </c>
      <c r="P76" s="18">
        <v>6</v>
      </c>
      <c r="Q76" s="18">
        <v>6.5</v>
      </c>
      <c r="R76" s="18">
        <v>6</v>
      </c>
      <c r="S76" s="18">
        <v>5</v>
      </c>
      <c r="T76" s="18">
        <v>6</v>
      </c>
      <c r="U76" s="18">
        <v>5</v>
      </c>
      <c r="V76" s="18">
        <v>6</v>
      </c>
      <c r="W76" s="18">
        <v>6.5</v>
      </c>
      <c r="X76" s="18" t="s">
        <v>38</v>
      </c>
      <c r="Y76" s="18" t="s">
        <v>389</v>
      </c>
      <c r="Z76" s="18" t="s">
        <v>390</v>
      </c>
      <c r="AA76" s="20" t="s">
        <v>38</v>
      </c>
      <c r="AB76" s="18"/>
      <c r="AC76" s="20"/>
      <c r="AD76" s="20"/>
      <c r="AE76" s="20"/>
      <c r="AF76" s="20"/>
      <c r="AG76" s="20"/>
      <c r="AH76" s="20"/>
      <c r="AI76" s="20"/>
      <c r="AJ76" s="20"/>
      <c r="AK76" s="20"/>
      <c r="AL76" s="20"/>
      <c r="AM76" s="20"/>
      <c r="AN76" s="20"/>
      <c r="AO76" s="20"/>
      <c r="AP76" s="20"/>
      <c r="AQ76" s="20"/>
      <c r="AR76" s="20"/>
      <c r="AS76" s="20"/>
    </row>
    <row r="77" spans="1:45" ht="63.75" x14ac:dyDescent="0.35">
      <c r="A77" s="18" t="s">
        <v>170</v>
      </c>
      <c r="B77" s="18" t="s">
        <v>353</v>
      </c>
      <c r="C77" s="18" t="s">
        <v>391</v>
      </c>
      <c r="D77" s="65" t="s">
        <v>661</v>
      </c>
      <c r="E77" t="s">
        <v>59</v>
      </c>
      <c r="F77" s="18" t="s">
        <v>392</v>
      </c>
      <c r="G77" s="31" t="s">
        <v>60</v>
      </c>
      <c r="H77" s="18" t="s">
        <v>393</v>
      </c>
      <c r="I77" s="18" t="s">
        <v>38</v>
      </c>
      <c r="J77" s="32" t="s">
        <v>38</v>
      </c>
      <c r="K77" t="s">
        <v>726</v>
      </c>
      <c r="L77" s="11">
        <f t="shared" si="1"/>
        <v>6.6818181818181817</v>
      </c>
      <c r="M77" s="18">
        <v>7</v>
      </c>
      <c r="N77" s="18">
        <v>7</v>
      </c>
      <c r="O77" s="18">
        <v>6.5</v>
      </c>
      <c r="P77" s="18">
        <v>6.5</v>
      </c>
      <c r="Q77" s="18">
        <v>6.5</v>
      </c>
      <c r="R77" s="18">
        <v>6.5</v>
      </c>
      <c r="S77" s="18">
        <v>6.5</v>
      </c>
      <c r="T77" s="18">
        <v>6.5</v>
      </c>
      <c r="U77" s="18">
        <v>7</v>
      </c>
      <c r="V77" s="18">
        <v>7</v>
      </c>
      <c r="W77" s="18">
        <v>6.5</v>
      </c>
      <c r="X77" s="18" t="s">
        <v>38</v>
      </c>
      <c r="Y77" s="18" t="s">
        <v>239</v>
      </c>
      <c r="Z77" s="18" t="s">
        <v>57</v>
      </c>
      <c r="AA77" s="20" t="s">
        <v>38</v>
      </c>
      <c r="AB77" s="18"/>
      <c r="AC77" s="20"/>
      <c r="AD77" s="20"/>
      <c r="AE77" s="20"/>
      <c r="AF77" s="20"/>
      <c r="AG77" s="20"/>
      <c r="AH77" s="20"/>
      <c r="AI77" s="20"/>
      <c r="AJ77" s="20"/>
      <c r="AK77" s="20"/>
      <c r="AL77" s="20"/>
      <c r="AM77" s="20"/>
      <c r="AN77" s="20"/>
      <c r="AO77" s="20"/>
      <c r="AP77" s="20"/>
      <c r="AQ77" s="20"/>
      <c r="AR77" s="20"/>
      <c r="AS77" s="20"/>
    </row>
    <row r="78" spans="1:45" ht="38.25" x14ac:dyDescent="0.35">
      <c r="A78" s="18" t="s">
        <v>170</v>
      </c>
      <c r="B78" s="18" t="s">
        <v>170</v>
      </c>
      <c r="C78" s="18" t="s">
        <v>394</v>
      </c>
      <c r="D78" s="65" t="s">
        <v>662</v>
      </c>
      <c r="E78" s="26" t="s">
        <v>59</v>
      </c>
      <c r="F78" s="18" t="s">
        <v>395</v>
      </c>
      <c r="G78" s="31" t="s">
        <v>382</v>
      </c>
      <c r="H78" s="31" t="s">
        <v>396</v>
      </c>
      <c r="I78" s="18" t="s">
        <v>397</v>
      </c>
      <c r="J78" s="18" t="s">
        <v>196</v>
      </c>
      <c r="K78" s="18" t="s">
        <v>215</v>
      </c>
      <c r="L78" s="11">
        <f t="shared" si="1"/>
        <v>6.7727272727272725</v>
      </c>
      <c r="M78" s="18">
        <v>7</v>
      </c>
      <c r="N78" s="18">
        <v>7</v>
      </c>
      <c r="O78" s="18">
        <v>6</v>
      </c>
      <c r="P78" s="18">
        <v>6.5</v>
      </c>
      <c r="Q78" s="18">
        <v>6.5</v>
      </c>
      <c r="R78" s="18">
        <v>7</v>
      </c>
      <c r="S78" s="18">
        <v>7</v>
      </c>
      <c r="T78" s="18">
        <v>7</v>
      </c>
      <c r="U78" s="18">
        <v>7</v>
      </c>
      <c r="V78" s="18">
        <v>7</v>
      </c>
      <c r="W78" s="18">
        <v>6.5</v>
      </c>
      <c r="X78" s="18" t="s">
        <v>48</v>
      </c>
      <c r="Y78" s="18" t="s">
        <v>239</v>
      </c>
      <c r="Z78" s="18" t="s">
        <v>79</v>
      </c>
      <c r="AA78" s="20" t="s">
        <v>48</v>
      </c>
      <c r="AB78" s="18"/>
      <c r="AC78" s="20"/>
      <c r="AD78" s="20"/>
      <c r="AE78" s="20"/>
      <c r="AF78" s="20"/>
      <c r="AG78" s="20"/>
      <c r="AH78" s="20"/>
      <c r="AI78" s="20"/>
      <c r="AJ78" s="20"/>
      <c r="AK78" s="20"/>
      <c r="AL78" s="20"/>
      <c r="AM78" s="20"/>
      <c r="AN78" s="20"/>
      <c r="AO78" s="20"/>
      <c r="AP78" s="20"/>
      <c r="AQ78" s="20"/>
      <c r="AR78" s="20"/>
      <c r="AS78" s="20"/>
    </row>
    <row r="79" spans="1:45" ht="25.5" x14ac:dyDescent="0.35">
      <c r="A79" s="18" t="s">
        <v>277</v>
      </c>
      <c r="B79" s="18" t="s">
        <v>277</v>
      </c>
      <c r="C79" s="18" t="s">
        <v>398</v>
      </c>
      <c r="D79" s="64">
        <v>700000</v>
      </c>
      <c r="E79" s="26"/>
      <c r="F79" t="s">
        <v>695</v>
      </c>
      <c r="G79" s="31" t="s">
        <v>60</v>
      </c>
      <c r="H79" s="31" t="s">
        <v>399</v>
      </c>
      <c r="I79" s="18" t="s">
        <v>167</v>
      </c>
      <c r="J79" s="18" t="s">
        <v>400</v>
      </c>
      <c r="K79" s="18" t="s">
        <v>401</v>
      </c>
      <c r="L79" s="11">
        <f t="shared" si="1"/>
        <v>6.6727272727272728</v>
      </c>
      <c r="M79" s="18">
        <v>7</v>
      </c>
      <c r="N79" s="18">
        <v>6.4</v>
      </c>
      <c r="O79" s="18">
        <v>6.5</v>
      </c>
      <c r="P79" s="18">
        <v>6</v>
      </c>
      <c r="Q79" s="18">
        <v>7</v>
      </c>
      <c r="R79" s="18">
        <v>6.5</v>
      </c>
      <c r="S79" s="18">
        <v>6.5</v>
      </c>
      <c r="T79" s="18">
        <v>6.5</v>
      </c>
      <c r="U79" s="18">
        <v>7</v>
      </c>
      <c r="V79" s="18">
        <v>7</v>
      </c>
      <c r="W79" s="18">
        <v>7</v>
      </c>
      <c r="X79" s="18" t="s">
        <v>402</v>
      </c>
      <c r="Y79" s="18" t="s">
        <v>403</v>
      </c>
      <c r="Z79" s="18" t="s">
        <v>404</v>
      </c>
      <c r="AA79" s="20" t="s">
        <v>38</v>
      </c>
      <c r="AB79" s="18"/>
      <c r="AC79" s="20"/>
      <c r="AD79" s="20"/>
      <c r="AE79" s="20"/>
      <c r="AF79" s="20"/>
      <c r="AG79" s="20"/>
      <c r="AH79" s="20"/>
      <c r="AI79" s="20"/>
      <c r="AJ79" s="20"/>
      <c r="AK79" s="20"/>
      <c r="AL79" s="20"/>
      <c r="AM79" s="20"/>
      <c r="AN79" s="20"/>
      <c r="AO79" s="20"/>
      <c r="AP79" s="20"/>
      <c r="AQ79" s="20"/>
      <c r="AR79" s="20"/>
      <c r="AS79" s="20"/>
    </row>
    <row r="80" spans="1:45" ht="76.5" x14ac:dyDescent="0.35">
      <c r="A80" s="18" t="s">
        <v>277</v>
      </c>
      <c r="B80" s="18" t="s">
        <v>277</v>
      </c>
      <c r="C80" s="18" t="s">
        <v>405</v>
      </c>
      <c r="D80" s="64">
        <v>700000</v>
      </c>
      <c r="E80" s="26" t="s">
        <v>170</v>
      </c>
      <c r="F80" s="18" t="s">
        <v>406</v>
      </c>
      <c r="G80" s="31" t="s">
        <v>60</v>
      </c>
      <c r="H80" s="31" t="s">
        <v>407</v>
      </c>
      <c r="I80" s="18" t="s">
        <v>167</v>
      </c>
      <c r="J80" s="18" t="s">
        <v>400</v>
      </c>
      <c r="K80" s="18" t="s">
        <v>401</v>
      </c>
      <c r="L80" s="11">
        <f t="shared" si="1"/>
        <v>6.6727272727272728</v>
      </c>
      <c r="M80" s="18">
        <v>7</v>
      </c>
      <c r="N80" s="18">
        <v>6.4</v>
      </c>
      <c r="O80" s="18">
        <v>6.5</v>
      </c>
      <c r="P80" s="18">
        <v>6</v>
      </c>
      <c r="Q80" s="18">
        <v>7</v>
      </c>
      <c r="R80" s="18">
        <v>6.5</v>
      </c>
      <c r="S80" s="18">
        <v>6.5</v>
      </c>
      <c r="T80" s="18">
        <v>6.5</v>
      </c>
      <c r="U80" s="18">
        <v>7</v>
      </c>
      <c r="V80" s="18">
        <v>7</v>
      </c>
      <c r="W80" s="18">
        <v>7</v>
      </c>
      <c r="X80" s="18" t="s">
        <v>402</v>
      </c>
      <c r="Y80" s="18" t="s">
        <v>403</v>
      </c>
      <c r="Z80" s="18" t="s">
        <v>404</v>
      </c>
      <c r="AA80" s="20" t="s">
        <v>38</v>
      </c>
      <c r="AB80" s="18"/>
      <c r="AC80" s="20"/>
      <c r="AD80" s="20"/>
      <c r="AE80" s="20"/>
      <c r="AF80" s="20"/>
      <c r="AG80" s="20"/>
      <c r="AH80" s="20"/>
      <c r="AI80" s="20"/>
      <c r="AJ80" s="20"/>
      <c r="AK80" s="20"/>
      <c r="AL80" s="20"/>
      <c r="AM80" s="20"/>
      <c r="AN80" s="20"/>
      <c r="AO80" s="20"/>
      <c r="AP80" s="20"/>
      <c r="AQ80" s="20"/>
      <c r="AR80" s="20"/>
      <c r="AS80" s="20"/>
    </row>
    <row r="81" spans="1:45" ht="25.5" x14ac:dyDescent="0.35">
      <c r="A81" s="18" t="s">
        <v>170</v>
      </c>
      <c r="B81" s="18" t="s">
        <v>277</v>
      </c>
      <c r="C81" s="18" t="s">
        <v>408</v>
      </c>
      <c r="D81" s="65" t="s">
        <v>663</v>
      </c>
      <c r="E81" t="s">
        <v>170</v>
      </c>
      <c r="F81" s="18" t="s">
        <v>409</v>
      </c>
      <c r="G81" s="31" t="s">
        <v>60</v>
      </c>
      <c r="H81" s="18" t="s">
        <v>410</v>
      </c>
      <c r="I81" s="18" t="s">
        <v>38</v>
      </c>
      <c r="J81" s="32" t="s">
        <v>38</v>
      </c>
      <c r="K81" t="s">
        <v>727</v>
      </c>
      <c r="L81" s="11">
        <f t="shared" si="1"/>
        <v>6.6818181818181817</v>
      </c>
      <c r="M81" s="18">
        <v>7</v>
      </c>
      <c r="N81" s="18">
        <v>6</v>
      </c>
      <c r="O81" s="18">
        <v>7</v>
      </c>
      <c r="P81" s="18">
        <v>6</v>
      </c>
      <c r="Q81" s="18">
        <v>7</v>
      </c>
      <c r="R81" s="18">
        <v>6.5</v>
      </c>
      <c r="S81" s="18">
        <v>6.5</v>
      </c>
      <c r="T81" s="18">
        <v>6.5</v>
      </c>
      <c r="U81" s="18">
        <v>7</v>
      </c>
      <c r="V81" s="18">
        <v>7</v>
      </c>
      <c r="W81" s="18">
        <v>7</v>
      </c>
      <c r="X81" s="18" t="s">
        <v>411</v>
      </c>
      <c r="Y81" s="18" t="s">
        <v>36</v>
      </c>
      <c r="Z81" s="18" t="s">
        <v>57</v>
      </c>
      <c r="AA81" s="20"/>
      <c r="AB81" s="18"/>
      <c r="AC81" s="20"/>
      <c r="AD81" s="20"/>
      <c r="AE81" s="20"/>
      <c r="AF81" s="20"/>
      <c r="AG81" s="20"/>
      <c r="AH81" s="20"/>
      <c r="AI81" s="20"/>
      <c r="AJ81" s="20"/>
      <c r="AK81" s="20"/>
      <c r="AL81" s="20"/>
      <c r="AM81" s="20"/>
      <c r="AN81" s="20"/>
      <c r="AO81" s="20"/>
      <c r="AP81" s="20"/>
      <c r="AQ81" s="20"/>
      <c r="AR81" s="20"/>
      <c r="AS81" s="20"/>
    </row>
    <row r="82" spans="1:45" ht="25.5" customHeight="1" x14ac:dyDescent="0.35">
      <c r="A82" s="18" t="s">
        <v>170</v>
      </c>
      <c r="B82" s="18" t="s">
        <v>152</v>
      </c>
      <c r="C82" s="18" t="s">
        <v>412</v>
      </c>
      <c r="D82" s="65" t="s">
        <v>664</v>
      </c>
      <c r="E82" s="26" t="s">
        <v>42</v>
      </c>
      <c r="F82" s="18" t="s">
        <v>413</v>
      </c>
      <c r="G82" s="31" t="s">
        <v>60</v>
      </c>
      <c r="H82" s="18" t="s">
        <v>414</v>
      </c>
      <c r="I82" s="18" t="s">
        <v>38</v>
      </c>
      <c r="J82" s="32" t="s">
        <v>38</v>
      </c>
      <c r="K82" t="s">
        <v>727</v>
      </c>
      <c r="L82" s="11">
        <f t="shared" si="1"/>
        <v>6.4545454545454541</v>
      </c>
      <c r="M82" s="18">
        <v>7</v>
      </c>
      <c r="N82" s="18">
        <v>6</v>
      </c>
      <c r="O82" s="18">
        <v>6</v>
      </c>
      <c r="P82" s="18">
        <v>6</v>
      </c>
      <c r="Q82" s="18">
        <v>6.5</v>
      </c>
      <c r="R82" s="18">
        <v>6</v>
      </c>
      <c r="S82" s="18">
        <v>6.5</v>
      </c>
      <c r="T82" s="18">
        <v>6.5</v>
      </c>
      <c r="U82" s="18">
        <v>7</v>
      </c>
      <c r="V82" s="18">
        <v>7</v>
      </c>
      <c r="W82" s="18">
        <v>6.5</v>
      </c>
      <c r="X82" s="18" t="s">
        <v>38</v>
      </c>
      <c r="Y82" s="18" t="s">
        <v>415</v>
      </c>
      <c r="Z82" s="18" t="s">
        <v>57</v>
      </c>
      <c r="AA82" s="20"/>
      <c r="AB82" s="18"/>
      <c r="AC82" s="20"/>
      <c r="AD82" s="20"/>
      <c r="AE82" s="20"/>
      <c r="AF82" s="20"/>
      <c r="AG82" s="20"/>
      <c r="AH82" s="20"/>
      <c r="AI82" s="20"/>
      <c r="AJ82" s="20"/>
      <c r="AK82" s="20"/>
      <c r="AL82" s="20"/>
      <c r="AM82" s="20"/>
      <c r="AN82" s="20"/>
      <c r="AO82" s="20"/>
      <c r="AP82" s="20"/>
      <c r="AQ82" s="20"/>
      <c r="AR82" s="20"/>
      <c r="AS82" s="20"/>
    </row>
    <row r="83" spans="1:45" ht="51" x14ac:dyDescent="0.35">
      <c r="A83" s="18" t="s">
        <v>170</v>
      </c>
      <c r="B83" s="18" t="s">
        <v>170</v>
      </c>
      <c r="C83" s="18" t="s">
        <v>416</v>
      </c>
      <c r="D83" s="64">
        <v>489000</v>
      </c>
      <c r="E83" t="s">
        <v>152</v>
      </c>
      <c r="F83" s="18" t="s">
        <v>417</v>
      </c>
      <c r="G83" s="31" t="s">
        <v>60</v>
      </c>
      <c r="H83" s="18" t="s">
        <v>396</v>
      </c>
      <c r="I83" s="18" t="s">
        <v>38</v>
      </c>
      <c r="J83" s="32" t="s">
        <v>38</v>
      </c>
      <c r="K83" s="18" t="s">
        <v>38</v>
      </c>
      <c r="L83" s="11">
        <f t="shared" si="1"/>
        <v>6.5909090909090908</v>
      </c>
      <c r="M83" s="18">
        <v>7</v>
      </c>
      <c r="N83" s="18">
        <v>6</v>
      </c>
      <c r="O83" s="18">
        <v>6.5</v>
      </c>
      <c r="P83" s="18">
        <v>7</v>
      </c>
      <c r="Q83" s="18">
        <v>6.5</v>
      </c>
      <c r="R83" s="18">
        <v>6.5</v>
      </c>
      <c r="S83" s="18">
        <v>6.5</v>
      </c>
      <c r="T83" s="18">
        <v>6.5</v>
      </c>
      <c r="U83" s="18">
        <v>6</v>
      </c>
      <c r="V83" s="18">
        <v>7</v>
      </c>
      <c r="W83" s="18">
        <v>7</v>
      </c>
      <c r="X83" s="18" t="s">
        <v>38</v>
      </c>
      <c r="Y83" s="18" t="s">
        <v>418</v>
      </c>
      <c r="Z83" s="18" t="s">
        <v>79</v>
      </c>
      <c r="AA83" s="20"/>
      <c r="AB83" s="18"/>
      <c r="AC83" s="20"/>
      <c r="AD83" s="20"/>
      <c r="AE83" s="20"/>
      <c r="AF83" s="20"/>
      <c r="AG83" s="20"/>
      <c r="AH83" s="20"/>
      <c r="AI83" s="20"/>
      <c r="AJ83" s="20"/>
      <c r="AK83" s="20"/>
      <c r="AL83" s="20"/>
      <c r="AM83" s="20"/>
      <c r="AN83" s="20"/>
      <c r="AO83" s="20"/>
      <c r="AP83" s="20"/>
      <c r="AQ83" s="20"/>
      <c r="AR83" s="20"/>
      <c r="AS83" s="20"/>
    </row>
    <row r="84" spans="1:45" ht="76.5" x14ac:dyDescent="0.35">
      <c r="A84" s="18" t="s">
        <v>42</v>
      </c>
      <c r="B84" s="18" t="s">
        <v>42</v>
      </c>
      <c r="C84" s="18" t="s">
        <v>419</v>
      </c>
      <c r="D84" s="65" t="s">
        <v>738</v>
      </c>
      <c r="E84" s="21" t="s">
        <v>39</v>
      </c>
      <c r="F84" s="18" t="s">
        <v>420</v>
      </c>
      <c r="G84" s="31" t="s">
        <v>60</v>
      </c>
      <c r="H84" s="31" t="s">
        <v>421</v>
      </c>
      <c r="I84" s="18" t="s">
        <v>397</v>
      </c>
      <c r="J84" s="18" t="s">
        <v>196</v>
      </c>
      <c r="K84" s="18" t="s">
        <v>422</v>
      </c>
      <c r="L84" s="11">
        <f t="shared" si="1"/>
        <v>5.3181818181818183</v>
      </c>
      <c r="M84" s="18">
        <v>6.5</v>
      </c>
      <c r="N84" s="18">
        <v>5.5</v>
      </c>
      <c r="O84" s="18">
        <v>5</v>
      </c>
      <c r="P84" s="18">
        <v>5.5</v>
      </c>
      <c r="Q84" s="18">
        <v>6</v>
      </c>
      <c r="R84" s="18">
        <v>5</v>
      </c>
      <c r="S84" s="18">
        <v>5</v>
      </c>
      <c r="T84" s="18">
        <v>5</v>
      </c>
      <c r="U84" s="18">
        <v>4</v>
      </c>
      <c r="V84" s="18">
        <v>6</v>
      </c>
      <c r="W84" s="18">
        <v>5</v>
      </c>
      <c r="X84" s="18"/>
      <c r="Y84" s="18"/>
      <c r="Z84" s="18"/>
      <c r="AA84" s="20"/>
      <c r="AB84" s="18"/>
      <c r="AC84" s="20"/>
      <c r="AD84" s="20"/>
      <c r="AE84" s="20"/>
      <c r="AF84" s="20"/>
      <c r="AG84" s="20"/>
      <c r="AH84" s="20"/>
      <c r="AI84" s="20"/>
      <c r="AJ84" s="20"/>
      <c r="AK84" s="20"/>
      <c r="AL84" s="20"/>
      <c r="AM84" s="20"/>
      <c r="AN84" s="20"/>
      <c r="AO84" s="20"/>
      <c r="AP84" s="20"/>
      <c r="AQ84" s="20"/>
      <c r="AR84" s="20"/>
      <c r="AS84" s="20"/>
    </row>
    <row r="85" spans="1:45" ht="63.75" x14ac:dyDescent="0.35">
      <c r="A85" s="22" t="s">
        <v>42</v>
      </c>
      <c r="B85" s="22" t="s">
        <v>42</v>
      </c>
      <c r="C85" s="22" t="s">
        <v>423</v>
      </c>
      <c r="D85" s="64">
        <v>329000</v>
      </c>
      <c r="E85" s="22" t="s">
        <v>152</v>
      </c>
      <c r="F85" s="22" t="s">
        <v>424</v>
      </c>
      <c r="G85" s="22" t="s">
        <v>60</v>
      </c>
      <c r="H85" s="22" t="s">
        <v>425</v>
      </c>
      <c r="I85" s="22" t="s">
        <v>426</v>
      </c>
      <c r="J85" s="33" t="s">
        <v>378</v>
      </c>
      <c r="K85" s="22" t="s">
        <v>427</v>
      </c>
      <c r="L85" s="11">
        <f t="shared" si="1"/>
        <v>5.5454545454545459</v>
      </c>
      <c r="M85" s="22">
        <v>6.5</v>
      </c>
      <c r="N85" s="22">
        <v>6.5</v>
      </c>
      <c r="O85" s="22">
        <v>6</v>
      </c>
      <c r="P85" s="22">
        <v>5.5</v>
      </c>
      <c r="Q85" s="22">
        <v>5.5</v>
      </c>
      <c r="R85" s="22">
        <v>5</v>
      </c>
      <c r="S85" s="22">
        <v>5</v>
      </c>
      <c r="T85" s="22">
        <v>6</v>
      </c>
      <c r="U85" s="22">
        <v>3.5</v>
      </c>
      <c r="V85" s="22">
        <v>6</v>
      </c>
      <c r="W85" s="22">
        <v>5.5</v>
      </c>
      <c r="X85" s="22" t="s">
        <v>48</v>
      </c>
      <c r="Y85" s="22" t="s">
        <v>428</v>
      </c>
      <c r="Z85" s="22" t="s">
        <v>102</v>
      </c>
      <c r="AA85" s="25"/>
      <c r="AB85" s="34"/>
      <c r="AC85" s="25"/>
      <c r="AD85" s="25"/>
      <c r="AE85" s="25"/>
      <c r="AF85" s="25"/>
      <c r="AG85" s="25"/>
      <c r="AH85" s="25"/>
      <c r="AI85" s="25"/>
      <c r="AJ85" s="25"/>
      <c r="AK85" s="25"/>
      <c r="AL85" s="25"/>
      <c r="AM85" s="25"/>
      <c r="AN85" s="25"/>
      <c r="AO85" s="25"/>
      <c r="AP85" s="25"/>
      <c r="AQ85" s="25"/>
      <c r="AR85" s="25"/>
      <c r="AS85" s="25"/>
    </row>
    <row r="86" spans="1:45" ht="38.25" x14ac:dyDescent="0.35">
      <c r="A86" s="22" t="s">
        <v>42</v>
      </c>
      <c r="B86" s="22" t="s">
        <v>42</v>
      </c>
      <c r="C86" s="22" t="s">
        <v>429</v>
      </c>
      <c r="D86" s="65" t="s">
        <v>665</v>
      </c>
      <c r="E86" t="s">
        <v>152</v>
      </c>
      <c r="F86" s="22" t="s">
        <v>430</v>
      </c>
      <c r="G86" s="22" t="s">
        <v>53</v>
      </c>
      <c r="H86" s="22" t="s">
        <v>431</v>
      </c>
      <c r="I86" s="22" t="s">
        <v>38</v>
      </c>
      <c r="J86" s="33" t="s">
        <v>38</v>
      </c>
      <c r="K86" s="22" t="s">
        <v>38</v>
      </c>
      <c r="L86" s="11">
        <f t="shared" si="1"/>
        <v>5.5909090909090908</v>
      </c>
      <c r="M86" s="22">
        <v>6</v>
      </c>
      <c r="N86" s="22">
        <v>6</v>
      </c>
      <c r="O86" s="22">
        <v>4.5</v>
      </c>
      <c r="P86" s="22">
        <v>5</v>
      </c>
      <c r="Q86" s="22">
        <v>5</v>
      </c>
      <c r="R86" s="22">
        <v>6.5</v>
      </c>
      <c r="S86" s="22">
        <v>6</v>
      </c>
      <c r="T86" s="22">
        <v>6</v>
      </c>
      <c r="U86" s="22">
        <v>4</v>
      </c>
      <c r="V86" s="22">
        <v>6</v>
      </c>
      <c r="W86" s="22">
        <v>6.5</v>
      </c>
      <c r="X86" s="22" t="s">
        <v>38</v>
      </c>
      <c r="Y86" s="22" t="s">
        <v>129</v>
      </c>
      <c r="Z86" s="22" t="s">
        <v>124</v>
      </c>
      <c r="AA86" s="25"/>
      <c r="AB86" s="22"/>
      <c r="AC86" s="25"/>
      <c r="AD86" s="25"/>
      <c r="AE86" s="25"/>
      <c r="AF86" s="25"/>
      <c r="AG86" s="25"/>
      <c r="AH86" s="25"/>
      <c r="AI86" s="25"/>
      <c r="AJ86" s="25"/>
      <c r="AK86" s="25"/>
      <c r="AL86" s="25"/>
      <c r="AM86" s="25"/>
      <c r="AN86" s="25"/>
      <c r="AO86" s="25"/>
      <c r="AP86" s="25"/>
      <c r="AQ86" s="25"/>
      <c r="AR86" s="25"/>
      <c r="AS86" s="25"/>
    </row>
    <row r="87" spans="1:45" ht="38.25" hidden="1" x14ac:dyDescent="0.35">
      <c r="A87" s="22" t="s">
        <v>170</v>
      </c>
      <c r="B87" s="22" t="s">
        <v>152</v>
      </c>
      <c r="C87" s="22" t="s">
        <v>432</v>
      </c>
      <c r="D87" s="64">
        <v>439000</v>
      </c>
      <c r="E87" t="s">
        <v>152</v>
      </c>
      <c r="F87" s="22" t="s">
        <v>433</v>
      </c>
      <c r="G87" s="22" t="s">
        <v>60</v>
      </c>
      <c r="H87" s="22" t="s">
        <v>434</v>
      </c>
      <c r="I87" s="22" t="s">
        <v>38</v>
      </c>
      <c r="J87" s="33" t="s">
        <v>38</v>
      </c>
      <c r="K87" s="22" t="s">
        <v>215</v>
      </c>
      <c r="L87" s="11">
        <f t="shared" si="1"/>
        <v>3.6363636363636362</v>
      </c>
      <c r="M87" s="22">
        <v>6</v>
      </c>
      <c r="N87" s="22">
        <v>6</v>
      </c>
      <c r="O87" s="22">
        <v>5.5</v>
      </c>
      <c r="P87" s="22">
        <v>5.5</v>
      </c>
      <c r="Q87" s="22">
        <v>5.5</v>
      </c>
      <c r="R87" s="22">
        <v>5.5</v>
      </c>
      <c r="S87" s="22"/>
      <c r="T87" s="22"/>
      <c r="U87" s="22"/>
      <c r="V87" s="22"/>
      <c r="W87" s="22">
        <v>6</v>
      </c>
      <c r="X87" s="22" t="s">
        <v>48</v>
      </c>
      <c r="Y87" s="22" t="s">
        <v>435</v>
      </c>
      <c r="Z87" s="22" t="s">
        <v>38</v>
      </c>
      <c r="AA87" s="25"/>
      <c r="AB87" s="22"/>
      <c r="AC87" s="25"/>
      <c r="AD87" s="25"/>
      <c r="AE87" s="25"/>
      <c r="AF87" s="25"/>
      <c r="AG87" s="25"/>
      <c r="AH87" s="25"/>
      <c r="AI87" s="25"/>
      <c r="AJ87" s="25"/>
      <c r="AK87" s="25"/>
      <c r="AL87" s="25"/>
      <c r="AM87" s="25"/>
      <c r="AN87" s="25"/>
      <c r="AO87" s="25"/>
      <c r="AP87" s="25"/>
      <c r="AQ87" s="25"/>
      <c r="AR87" s="25"/>
      <c r="AS87" s="25"/>
    </row>
    <row r="88" spans="1:45" ht="63.75" x14ac:dyDescent="0.35">
      <c r="A88" s="22" t="s">
        <v>42</v>
      </c>
      <c r="B88" s="22" t="s">
        <v>42</v>
      </c>
      <c r="C88" s="22" t="s">
        <v>436</v>
      </c>
      <c r="D88" s="65" t="s">
        <v>666</v>
      </c>
      <c r="E88" t="s">
        <v>170</v>
      </c>
      <c r="F88" s="22" t="s">
        <v>437</v>
      </c>
      <c r="G88" s="22" t="s">
        <v>60</v>
      </c>
      <c r="H88" s="22" t="s">
        <v>438</v>
      </c>
      <c r="I88" s="22" t="s">
        <v>439</v>
      </c>
      <c r="J88" s="33" t="s">
        <v>440</v>
      </c>
      <c r="K88" s="22" t="s">
        <v>38</v>
      </c>
      <c r="L88" s="11">
        <f t="shared" si="1"/>
        <v>5.0909090909090908</v>
      </c>
      <c r="M88" s="22">
        <v>5</v>
      </c>
      <c r="N88" s="22">
        <v>5</v>
      </c>
      <c r="O88" s="22">
        <v>5</v>
      </c>
      <c r="P88" s="22">
        <v>3.5</v>
      </c>
      <c r="Q88" s="22">
        <v>5</v>
      </c>
      <c r="R88" s="22">
        <v>4.5</v>
      </c>
      <c r="S88" s="22">
        <v>6</v>
      </c>
      <c r="T88" s="22">
        <v>6</v>
      </c>
      <c r="U88" s="22">
        <v>5</v>
      </c>
      <c r="V88" s="22">
        <v>6</v>
      </c>
      <c r="W88" s="22">
        <v>5</v>
      </c>
      <c r="X88" s="22" t="s">
        <v>38</v>
      </c>
      <c r="Y88" s="22" t="s">
        <v>441</v>
      </c>
      <c r="Z88" s="22" t="s">
        <v>442</v>
      </c>
      <c r="AA88" s="25"/>
      <c r="AB88" s="34"/>
      <c r="AC88" s="25"/>
      <c r="AD88" s="25"/>
      <c r="AE88" s="25"/>
      <c r="AF88" s="25"/>
      <c r="AG88" s="25"/>
      <c r="AH88" s="25"/>
      <c r="AI88" s="25"/>
      <c r="AJ88" s="25"/>
      <c r="AK88" s="25"/>
      <c r="AL88" s="25"/>
      <c r="AM88" s="25"/>
      <c r="AN88" s="25"/>
      <c r="AO88" s="25"/>
      <c r="AP88" s="25"/>
      <c r="AQ88" s="25"/>
      <c r="AR88" s="25"/>
      <c r="AS88" s="25"/>
    </row>
    <row r="89" spans="1:45" ht="38.25" x14ac:dyDescent="0.35">
      <c r="A89" s="22" t="s">
        <v>42</v>
      </c>
      <c r="B89" s="22" t="s">
        <v>42</v>
      </c>
      <c r="C89" s="22" t="s">
        <v>443</v>
      </c>
      <c r="D89" s="65" t="s">
        <v>667</v>
      </c>
      <c r="E89" t="s">
        <v>670</v>
      </c>
      <c r="F89" s="22" t="s">
        <v>444</v>
      </c>
      <c r="G89" s="22" t="s">
        <v>60</v>
      </c>
      <c r="H89" s="22" t="s">
        <v>445</v>
      </c>
      <c r="I89" s="22" t="s">
        <v>38</v>
      </c>
      <c r="J89" s="33" t="s">
        <v>38</v>
      </c>
      <c r="K89" s="22" t="s">
        <v>446</v>
      </c>
      <c r="L89" s="11">
        <f t="shared" si="1"/>
        <v>5.7727272727272725</v>
      </c>
      <c r="M89" s="22">
        <v>6</v>
      </c>
      <c r="N89" s="22">
        <v>5.5</v>
      </c>
      <c r="O89" s="22">
        <v>6</v>
      </c>
      <c r="P89" s="22">
        <v>5.5</v>
      </c>
      <c r="Q89" s="22">
        <v>6</v>
      </c>
      <c r="R89" s="22">
        <v>5.5</v>
      </c>
      <c r="S89" s="22">
        <v>6</v>
      </c>
      <c r="T89" s="22">
        <v>6</v>
      </c>
      <c r="U89" s="22">
        <v>5</v>
      </c>
      <c r="V89" s="22">
        <v>6</v>
      </c>
      <c r="W89" s="22">
        <v>6</v>
      </c>
      <c r="X89" s="22" t="s">
        <v>38</v>
      </c>
      <c r="Y89" s="22" t="s">
        <v>435</v>
      </c>
      <c r="Z89" s="22" t="s">
        <v>102</v>
      </c>
      <c r="AA89" s="25"/>
      <c r="AB89" t="s">
        <v>358</v>
      </c>
      <c r="AC89" s="25"/>
      <c r="AD89" s="25"/>
      <c r="AE89" s="25"/>
      <c r="AF89" s="25"/>
      <c r="AG89" s="25"/>
      <c r="AH89" s="25"/>
      <c r="AI89" s="25"/>
      <c r="AJ89" s="25"/>
      <c r="AK89" s="25"/>
      <c r="AL89" s="25"/>
      <c r="AM89" s="25"/>
      <c r="AN89" s="25"/>
      <c r="AO89" s="25"/>
      <c r="AP89" s="25"/>
      <c r="AQ89" s="25"/>
      <c r="AR89" s="25"/>
      <c r="AS89" s="25"/>
    </row>
    <row r="90" spans="1:45" ht="38.25" x14ac:dyDescent="0.35">
      <c r="A90" s="22" t="s">
        <v>42</v>
      </c>
      <c r="B90" s="22" t="s">
        <v>42</v>
      </c>
      <c r="C90" s="22" t="s">
        <v>447</v>
      </c>
      <c r="D90" s="64">
        <v>195000</v>
      </c>
      <c r="E90" t="s">
        <v>152</v>
      </c>
      <c r="F90" t="s">
        <v>696</v>
      </c>
      <c r="G90" s="22" t="s">
        <v>60</v>
      </c>
      <c r="H90" s="22" t="s">
        <v>448</v>
      </c>
      <c r="I90" s="22" t="s">
        <v>38</v>
      </c>
      <c r="J90" s="33" t="s">
        <v>38</v>
      </c>
      <c r="K90" s="35" t="s">
        <v>449</v>
      </c>
      <c r="L90" s="11">
        <f t="shared" si="1"/>
        <v>5.5454545454545459</v>
      </c>
      <c r="M90" s="22">
        <v>6.5</v>
      </c>
      <c r="N90" s="22">
        <v>6</v>
      </c>
      <c r="O90" s="22">
        <v>6</v>
      </c>
      <c r="P90" s="22">
        <v>5.5</v>
      </c>
      <c r="Q90" s="22">
        <v>5.5</v>
      </c>
      <c r="R90" s="22">
        <v>5</v>
      </c>
      <c r="S90" s="22">
        <v>5</v>
      </c>
      <c r="T90" s="22">
        <v>5</v>
      </c>
      <c r="U90" s="22">
        <v>5</v>
      </c>
      <c r="V90" s="22">
        <v>6</v>
      </c>
      <c r="W90" s="22">
        <v>5.5</v>
      </c>
      <c r="X90" s="22" t="s">
        <v>48</v>
      </c>
      <c r="Y90" s="22" t="s">
        <v>450</v>
      </c>
      <c r="Z90" s="22" t="s">
        <v>102</v>
      </c>
      <c r="AA90" s="25"/>
      <c r="AB90" s="22"/>
      <c r="AC90" s="25"/>
      <c r="AD90" s="25"/>
      <c r="AE90" s="25"/>
      <c r="AF90" s="25"/>
      <c r="AG90" s="25"/>
      <c r="AH90" s="25"/>
      <c r="AI90" s="25"/>
      <c r="AJ90" s="25"/>
      <c r="AK90" s="25"/>
      <c r="AL90" s="25"/>
      <c r="AM90" s="25"/>
      <c r="AN90" s="25"/>
      <c r="AO90" s="25"/>
      <c r="AP90" s="25"/>
      <c r="AQ90" s="25"/>
      <c r="AR90" s="25"/>
      <c r="AS90" s="25"/>
    </row>
    <row r="91" spans="1:45" ht="25.5" x14ac:dyDescent="0.35">
      <c r="A91" s="22" t="s">
        <v>42</v>
      </c>
      <c r="B91" s="22" t="s">
        <v>42</v>
      </c>
      <c r="C91" s="22" t="s">
        <v>451</v>
      </c>
      <c r="D91" s="64">
        <v>219000</v>
      </c>
      <c r="E91" s="22" t="s">
        <v>452</v>
      </c>
      <c r="F91" t="s">
        <v>697</v>
      </c>
      <c r="G91" s="22" t="s">
        <v>60</v>
      </c>
      <c r="H91" s="22" t="s">
        <v>453</v>
      </c>
      <c r="I91" s="22" t="s">
        <v>454</v>
      </c>
      <c r="J91" s="33" t="s">
        <v>454</v>
      </c>
      <c r="K91" s="35" t="s">
        <v>455</v>
      </c>
      <c r="L91" s="11">
        <f t="shared" si="1"/>
        <v>5.0909090909090908</v>
      </c>
      <c r="M91" s="22">
        <v>6.5</v>
      </c>
      <c r="N91" s="22">
        <v>5</v>
      </c>
      <c r="O91" s="22">
        <v>5</v>
      </c>
      <c r="P91" s="22">
        <v>4.5</v>
      </c>
      <c r="Q91" s="22">
        <v>5.5</v>
      </c>
      <c r="R91" s="22">
        <v>5</v>
      </c>
      <c r="S91" s="22">
        <v>5</v>
      </c>
      <c r="T91" s="22">
        <v>5</v>
      </c>
      <c r="U91" s="22">
        <v>4</v>
      </c>
      <c r="V91" s="22">
        <v>5</v>
      </c>
      <c r="W91" s="22">
        <v>5.5</v>
      </c>
      <c r="X91" s="22" t="s">
        <v>456</v>
      </c>
      <c r="Y91" s="22" t="s">
        <v>457</v>
      </c>
      <c r="Z91" s="22" t="s">
        <v>57</v>
      </c>
      <c r="AA91" s="25"/>
      <c r="AB91" s="22"/>
      <c r="AC91" s="25"/>
      <c r="AD91" s="25"/>
      <c r="AE91" s="25"/>
      <c r="AF91" s="25"/>
      <c r="AG91" s="25"/>
      <c r="AH91" s="25"/>
      <c r="AI91" s="25"/>
      <c r="AJ91" s="25"/>
      <c r="AK91" s="25"/>
      <c r="AL91" s="25"/>
      <c r="AM91" s="25"/>
      <c r="AN91" s="25"/>
      <c r="AO91" s="25"/>
      <c r="AP91" s="25"/>
      <c r="AQ91" s="25"/>
      <c r="AR91" s="25"/>
      <c r="AS91" s="25"/>
    </row>
    <row r="92" spans="1:45" ht="51" x14ac:dyDescent="0.35">
      <c r="A92" s="22" t="s">
        <v>42</v>
      </c>
      <c r="B92" s="22" t="s">
        <v>42</v>
      </c>
      <c r="C92" s="22" t="s">
        <v>458</v>
      </c>
      <c r="D92" s="65" t="s">
        <v>739</v>
      </c>
      <c r="E92" t="s">
        <v>152</v>
      </c>
      <c r="F92" s="22" t="s">
        <v>413</v>
      </c>
      <c r="G92" s="22" t="s">
        <v>60</v>
      </c>
      <c r="H92" s="22" t="s">
        <v>459</v>
      </c>
      <c r="I92" s="22" t="s">
        <v>38</v>
      </c>
      <c r="J92" s="33" t="s">
        <v>38</v>
      </c>
      <c r="K92" s="35" t="s">
        <v>460</v>
      </c>
      <c r="L92" s="11">
        <f t="shared" si="1"/>
        <v>5.9090909090909092</v>
      </c>
      <c r="M92" s="22">
        <v>6.5</v>
      </c>
      <c r="N92" s="22">
        <v>6</v>
      </c>
      <c r="O92" s="22">
        <v>6</v>
      </c>
      <c r="P92" s="22">
        <v>6</v>
      </c>
      <c r="Q92" s="22">
        <v>5.5</v>
      </c>
      <c r="R92" s="22">
        <v>5</v>
      </c>
      <c r="S92" s="22">
        <v>5</v>
      </c>
      <c r="T92" s="22">
        <v>6</v>
      </c>
      <c r="U92" s="22">
        <v>7</v>
      </c>
      <c r="V92" s="22">
        <v>7</v>
      </c>
      <c r="W92" s="22">
        <v>5</v>
      </c>
      <c r="X92" s="22" t="s">
        <v>461</v>
      </c>
      <c r="Y92" s="22" t="s">
        <v>36</v>
      </c>
      <c r="Z92" s="22" t="s">
        <v>102</v>
      </c>
      <c r="AA92" s="25"/>
      <c r="AB92" s="22"/>
      <c r="AC92" s="25"/>
      <c r="AD92" s="25"/>
      <c r="AE92" s="25"/>
      <c r="AF92" s="25"/>
      <c r="AG92" s="25"/>
      <c r="AH92" s="25"/>
      <c r="AI92" s="25"/>
      <c r="AJ92" s="25"/>
      <c r="AK92" s="25"/>
      <c r="AL92" s="25"/>
      <c r="AM92" s="25"/>
      <c r="AN92" s="25"/>
      <c r="AO92" s="25"/>
      <c r="AP92" s="25"/>
      <c r="AQ92" s="25"/>
      <c r="AR92" s="25"/>
      <c r="AS92" s="25"/>
    </row>
    <row r="93" spans="1:45" ht="38.25" x14ac:dyDescent="0.35">
      <c r="A93" s="22" t="s">
        <v>42</v>
      </c>
      <c r="B93" s="22" t="s">
        <v>152</v>
      </c>
      <c r="C93" s="22" t="s">
        <v>462</v>
      </c>
      <c r="D93" s="64">
        <v>279000</v>
      </c>
      <c r="E93" t="s">
        <v>160</v>
      </c>
      <c r="F93" s="22" t="s">
        <v>463</v>
      </c>
      <c r="G93" s="22" t="s">
        <v>60</v>
      </c>
      <c r="H93" s="22" t="s">
        <v>464</v>
      </c>
      <c r="I93" s="22" t="s">
        <v>38</v>
      </c>
      <c r="J93" s="33" t="s">
        <v>38</v>
      </c>
      <c r="K93" s="22" t="s">
        <v>38</v>
      </c>
      <c r="L93" s="11">
        <f t="shared" si="1"/>
        <v>5.8181818181818183</v>
      </c>
      <c r="M93" s="22">
        <v>6</v>
      </c>
      <c r="N93" s="22">
        <v>6</v>
      </c>
      <c r="O93" s="22">
        <v>6.5</v>
      </c>
      <c r="P93" s="22">
        <v>6</v>
      </c>
      <c r="Q93" s="22">
        <v>5.5</v>
      </c>
      <c r="R93" s="22">
        <v>5</v>
      </c>
      <c r="S93" s="22">
        <v>6</v>
      </c>
      <c r="T93" s="22">
        <v>6</v>
      </c>
      <c r="U93" s="22">
        <v>6</v>
      </c>
      <c r="V93" s="22">
        <v>6</v>
      </c>
      <c r="W93" s="22">
        <v>5</v>
      </c>
      <c r="X93" s="22" t="s">
        <v>48</v>
      </c>
      <c r="Y93" s="22" t="s">
        <v>239</v>
      </c>
      <c r="Z93" s="22" t="s">
        <v>57</v>
      </c>
      <c r="AA93" s="25"/>
      <c r="AB93" s="22"/>
      <c r="AC93" s="25"/>
      <c r="AD93" s="25"/>
      <c r="AE93" s="25"/>
      <c r="AF93" s="25"/>
      <c r="AG93" s="25"/>
      <c r="AH93" s="25"/>
      <c r="AI93" s="25"/>
      <c r="AJ93" s="25"/>
      <c r="AK93" s="25"/>
      <c r="AL93" s="25"/>
      <c r="AM93" s="25"/>
      <c r="AN93" s="25"/>
      <c r="AO93" s="25"/>
      <c r="AP93" s="25"/>
      <c r="AQ93" s="25"/>
      <c r="AR93" s="25"/>
      <c r="AS93" s="25"/>
    </row>
    <row r="94" spans="1:45" ht="38.25" x14ac:dyDescent="0.35">
      <c r="A94" s="22" t="s">
        <v>42</v>
      </c>
      <c r="B94" s="22" t="s">
        <v>42</v>
      </c>
      <c r="C94" s="22" t="s">
        <v>465</v>
      </c>
      <c r="D94" s="64">
        <v>295000</v>
      </c>
      <c r="E94" t="s">
        <v>170</v>
      </c>
      <c r="F94" s="22" t="s">
        <v>466</v>
      </c>
      <c r="G94" s="22" t="s">
        <v>60</v>
      </c>
      <c r="H94" s="22" t="s">
        <v>467</v>
      </c>
      <c r="I94" s="22" t="s">
        <v>38</v>
      </c>
      <c r="J94" s="33" t="s">
        <v>38</v>
      </c>
      <c r="K94" s="22" t="s">
        <v>468</v>
      </c>
      <c r="L94" s="11">
        <f t="shared" si="1"/>
        <v>5.8181818181818183</v>
      </c>
      <c r="M94" s="22">
        <v>6</v>
      </c>
      <c r="N94" s="22">
        <v>5.5</v>
      </c>
      <c r="O94" s="22">
        <v>6</v>
      </c>
      <c r="P94" s="22">
        <v>5.5</v>
      </c>
      <c r="Q94" s="22">
        <v>5.5</v>
      </c>
      <c r="R94" s="22">
        <v>5.5</v>
      </c>
      <c r="S94" s="22">
        <v>6</v>
      </c>
      <c r="T94" s="22">
        <v>6</v>
      </c>
      <c r="U94" s="22">
        <v>6</v>
      </c>
      <c r="V94" s="22">
        <v>6</v>
      </c>
      <c r="W94" s="22">
        <v>6</v>
      </c>
      <c r="X94" s="22" t="s">
        <v>38</v>
      </c>
      <c r="Y94" s="22" t="s">
        <v>435</v>
      </c>
      <c r="Z94" s="22" t="s">
        <v>48</v>
      </c>
      <c r="AA94" s="25"/>
      <c r="AB94" t="s">
        <v>358</v>
      </c>
      <c r="AC94" s="25"/>
      <c r="AD94" s="25"/>
      <c r="AE94" s="25"/>
      <c r="AF94" s="25"/>
      <c r="AG94" s="25"/>
      <c r="AH94" s="25"/>
      <c r="AI94" s="25"/>
      <c r="AJ94" s="25"/>
      <c r="AK94" s="25"/>
      <c r="AL94" s="25"/>
      <c r="AM94" s="25"/>
      <c r="AN94" s="25"/>
      <c r="AO94" s="25"/>
      <c r="AP94" s="25"/>
      <c r="AQ94" s="25"/>
      <c r="AR94" s="25"/>
      <c r="AS94" s="25"/>
    </row>
    <row r="95" spans="1:45" ht="25.5" x14ac:dyDescent="0.35">
      <c r="A95" s="22" t="s">
        <v>42</v>
      </c>
      <c r="B95" s="22" t="s">
        <v>42</v>
      </c>
      <c r="C95" s="22" t="s">
        <v>469</v>
      </c>
      <c r="D95" s="64">
        <v>185000</v>
      </c>
      <c r="E95" t="s">
        <v>42</v>
      </c>
      <c r="F95" s="22" t="s">
        <v>470</v>
      </c>
      <c r="G95" s="22" t="s">
        <v>60</v>
      </c>
      <c r="H95" s="22" t="s">
        <v>471</v>
      </c>
      <c r="I95" s="22" t="s">
        <v>38</v>
      </c>
      <c r="J95" s="33" t="s">
        <v>38</v>
      </c>
      <c r="K95" s="22" t="s">
        <v>38</v>
      </c>
      <c r="L95" s="11">
        <f t="shared" si="1"/>
        <v>5.6363636363636367</v>
      </c>
      <c r="M95" s="22">
        <v>6.5</v>
      </c>
      <c r="N95" s="22">
        <v>6</v>
      </c>
      <c r="O95" s="22">
        <v>6</v>
      </c>
      <c r="P95" s="22">
        <v>5.5</v>
      </c>
      <c r="Q95" s="22">
        <v>5.5</v>
      </c>
      <c r="R95" s="22">
        <v>5</v>
      </c>
      <c r="S95" s="22">
        <v>5</v>
      </c>
      <c r="T95" s="22">
        <v>5</v>
      </c>
      <c r="U95" s="22">
        <v>6</v>
      </c>
      <c r="V95" s="22">
        <v>6</v>
      </c>
      <c r="W95" s="22">
        <v>5.5</v>
      </c>
      <c r="X95" s="22" t="s">
        <v>38</v>
      </c>
      <c r="Y95" s="22" t="s">
        <v>36</v>
      </c>
      <c r="Z95" s="22" t="s">
        <v>48</v>
      </c>
      <c r="AA95" s="25"/>
      <c r="AB95" t="s">
        <v>358</v>
      </c>
      <c r="AC95" s="25"/>
      <c r="AD95" s="25"/>
      <c r="AE95" s="25"/>
      <c r="AF95" s="25"/>
      <c r="AG95" s="25"/>
      <c r="AH95" s="25"/>
      <c r="AI95" s="25"/>
      <c r="AJ95" s="25"/>
      <c r="AK95" s="25"/>
      <c r="AL95" s="25"/>
      <c r="AM95" s="25"/>
      <c r="AN95" s="25"/>
      <c r="AO95" s="25"/>
      <c r="AP95" s="25"/>
      <c r="AQ95" s="25"/>
      <c r="AR95" s="25"/>
      <c r="AS95" s="25"/>
    </row>
    <row r="96" spans="1:45" ht="38.25" x14ac:dyDescent="0.35">
      <c r="A96" s="22" t="s">
        <v>42</v>
      </c>
      <c r="B96" s="22" t="s">
        <v>42</v>
      </c>
      <c r="C96" s="22" t="s">
        <v>472</v>
      </c>
      <c r="D96" s="64">
        <v>199000</v>
      </c>
      <c r="E96" t="s">
        <v>170</v>
      </c>
      <c r="F96" s="22" t="s">
        <v>473</v>
      </c>
      <c r="G96" s="22" t="s">
        <v>60</v>
      </c>
      <c r="H96" s="22" t="s">
        <v>474</v>
      </c>
      <c r="I96" s="22" t="s">
        <v>38</v>
      </c>
      <c r="J96" s="33" t="s">
        <v>38</v>
      </c>
      <c r="K96" s="35" t="s">
        <v>449</v>
      </c>
      <c r="L96" s="11">
        <f t="shared" si="1"/>
        <v>5.5</v>
      </c>
      <c r="M96" s="22">
        <v>6.5</v>
      </c>
      <c r="N96" s="22">
        <v>6</v>
      </c>
      <c r="O96" s="22">
        <v>5.5</v>
      </c>
      <c r="P96" s="22">
        <v>5.5</v>
      </c>
      <c r="Q96" s="22">
        <v>5.5</v>
      </c>
      <c r="R96" s="22">
        <v>5</v>
      </c>
      <c r="S96" s="22">
        <v>5</v>
      </c>
      <c r="T96" s="22">
        <v>5</v>
      </c>
      <c r="U96" s="22">
        <v>5</v>
      </c>
      <c r="V96" s="22">
        <v>6</v>
      </c>
      <c r="W96" s="22">
        <v>5.5</v>
      </c>
      <c r="X96" s="22" t="s">
        <v>48</v>
      </c>
      <c r="Y96" s="22" t="s">
        <v>450</v>
      </c>
      <c r="Z96" s="22" t="s">
        <v>102</v>
      </c>
      <c r="AA96" s="25"/>
      <c r="AB96" s="22"/>
      <c r="AC96" s="25"/>
      <c r="AD96" s="25"/>
      <c r="AE96" s="25"/>
      <c r="AF96" s="25"/>
      <c r="AG96" s="25"/>
      <c r="AH96" s="25"/>
      <c r="AI96" s="25"/>
      <c r="AJ96" s="25"/>
      <c r="AK96" s="25"/>
      <c r="AL96" s="25"/>
      <c r="AM96" s="25"/>
      <c r="AN96" s="25"/>
      <c r="AO96" s="25"/>
      <c r="AP96" s="25"/>
      <c r="AQ96" s="25"/>
      <c r="AR96" s="25"/>
      <c r="AS96" s="25"/>
    </row>
    <row r="97" spans="1:45" ht="76.5" x14ac:dyDescent="0.35">
      <c r="A97" s="36" t="s">
        <v>42</v>
      </c>
      <c r="B97" s="36" t="s">
        <v>454</v>
      </c>
      <c r="C97" s="36" t="s">
        <v>475</v>
      </c>
      <c r="D97" s="64">
        <v>349000</v>
      </c>
      <c r="E97" t="s">
        <v>170</v>
      </c>
      <c r="F97" s="36" t="s">
        <v>476</v>
      </c>
      <c r="G97" s="36" t="s">
        <v>261</v>
      </c>
      <c r="H97" s="36" t="s">
        <v>477</v>
      </c>
      <c r="I97" s="36" t="s">
        <v>38</v>
      </c>
      <c r="J97" s="37" t="s">
        <v>38</v>
      </c>
      <c r="K97" s="38" t="s">
        <v>38</v>
      </c>
      <c r="L97" s="11">
        <f t="shared" si="1"/>
        <v>4.4545454545454541</v>
      </c>
      <c r="M97" s="36">
        <v>6</v>
      </c>
      <c r="N97" s="36">
        <v>6</v>
      </c>
      <c r="O97" s="36">
        <v>4</v>
      </c>
      <c r="P97" s="36">
        <v>3</v>
      </c>
      <c r="Q97" s="36">
        <v>4</v>
      </c>
      <c r="R97" s="36">
        <v>5</v>
      </c>
      <c r="S97" s="36">
        <v>4</v>
      </c>
      <c r="T97" s="36">
        <v>4</v>
      </c>
      <c r="U97" s="36">
        <v>4</v>
      </c>
      <c r="V97" s="36">
        <v>5</v>
      </c>
      <c r="W97" s="36">
        <v>4</v>
      </c>
      <c r="X97" s="36" t="s">
        <v>38</v>
      </c>
      <c r="Y97" s="36" t="s">
        <v>450</v>
      </c>
      <c r="Z97" s="36" t="s">
        <v>180</v>
      </c>
      <c r="AA97" s="39"/>
      <c r="AB97" s="36"/>
      <c r="AC97" s="39"/>
      <c r="AD97" s="39"/>
      <c r="AE97" s="39"/>
      <c r="AF97" s="39"/>
      <c r="AG97" s="39"/>
      <c r="AH97" s="39"/>
      <c r="AI97" s="39"/>
      <c r="AJ97" s="39"/>
      <c r="AK97" s="39"/>
      <c r="AL97" s="39"/>
      <c r="AM97" s="39"/>
      <c r="AN97" s="39"/>
      <c r="AO97" s="39"/>
      <c r="AP97" s="39"/>
      <c r="AQ97" s="39"/>
      <c r="AR97" s="39"/>
      <c r="AS97" s="39"/>
    </row>
    <row r="98" spans="1:45" ht="25.5" x14ac:dyDescent="0.35">
      <c r="A98" s="40" t="s">
        <v>170</v>
      </c>
      <c r="B98" s="40" t="s">
        <v>42</v>
      </c>
      <c r="C98" s="40" t="s">
        <v>478</v>
      </c>
      <c r="D98" s="64">
        <v>499000</v>
      </c>
      <c r="E98" s="40" t="s">
        <v>170</v>
      </c>
      <c r="F98" s="40" t="s">
        <v>479</v>
      </c>
      <c r="G98" s="40" t="s">
        <v>261</v>
      </c>
      <c r="H98" s="40" t="s">
        <v>480</v>
      </c>
      <c r="I98" s="40" t="s">
        <v>481</v>
      </c>
      <c r="J98" s="41" t="s">
        <v>38</v>
      </c>
      <c r="K98" s="40" t="s">
        <v>38</v>
      </c>
      <c r="L98" s="11">
        <f t="shared" si="1"/>
        <v>5.0454545454545459</v>
      </c>
      <c r="M98" s="40">
        <v>6</v>
      </c>
      <c r="N98" s="40">
        <v>6</v>
      </c>
      <c r="O98" s="40">
        <v>6</v>
      </c>
      <c r="P98" s="40">
        <v>4.5</v>
      </c>
      <c r="Q98" s="40">
        <v>5.5</v>
      </c>
      <c r="R98" s="40">
        <v>5.5</v>
      </c>
      <c r="S98" s="40">
        <v>4</v>
      </c>
      <c r="T98" s="40">
        <v>4</v>
      </c>
      <c r="U98" s="40">
        <v>4</v>
      </c>
      <c r="V98" s="40">
        <v>4</v>
      </c>
      <c r="W98" s="40">
        <v>6</v>
      </c>
      <c r="X98" s="40" t="s">
        <v>38</v>
      </c>
      <c r="Y98" s="40" t="s">
        <v>93</v>
      </c>
      <c r="Z98" s="40" t="s">
        <v>38</v>
      </c>
      <c r="AA98" s="42"/>
      <c r="AB98" s="40" t="s">
        <v>482</v>
      </c>
      <c r="AC98" s="42"/>
      <c r="AD98" s="42"/>
      <c r="AE98" s="42"/>
      <c r="AF98" s="42"/>
      <c r="AG98" s="42"/>
      <c r="AH98" s="42"/>
      <c r="AI98" s="42"/>
      <c r="AJ98" s="42"/>
      <c r="AK98" s="42"/>
      <c r="AL98" s="42"/>
      <c r="AM98" s="42"/>
      <c r="AN98" s="42"/>
      <c r="AO98" s="42"/>
      <c r="AP98" s="42"/>
      <c r="AQ98" s="42"/>
      <c r="AR98" s="42"/>
      <c r="AS98" s="42"/>
    </row>
    <row r="99" spans="1:45" ht="38.25" x14ac:dyDescent="0.35">
      <c r="A99" s="40" t="s">
        <v>42</v>
      </c>
      <c r="B99" s="40" t="s">
        <v>42</v>
      </c>
      <c r="C99" s="40" t="s">
        <v>483</v>
      </c>
      <c r="D99" s="64">
        <v>399000</v>
      </c>
      <c r="E99" t="s">
        <v>42</v>
      </c>
      <c r="F99" s="40" t="s">
        <v>484</v>
      </c>
      <c r="G99" s="40" t="s">
        <v>53</v>
      </c>
      <c r="H99" s="40" t="s">
        <v>485</v>
      </c>
      <c r="I99" s="40" t="s">
        <v>38</v>
      </c>
      <c r="J99" s="41" t="s">
        <v>38</v>
      </c>
      <c r="K99" s="40" t="s">
        <v>55</v>
      </c>
      <c r="L99" s="11">
        <f t="shared" si="1"/>
        <v>5.4090909090909092</v>
      </c>
      <c r="M99" s="40">
        <v>5</v>
      </c>
      <c r="N99" s="40">
        <v>4.5</v>
      </c>
      <c r="O99" s="40">
        <v>6</v>
      </c>
      <c r="P99" s="40">
        <v>6</v>
      </c>
      <c r="Q99" s="40">
        <v>6</v>
      </c>
      <c r="R99" s="40">
        <v>6</v>
      </c>
      <c r="S99" s="40">
        <v>5</v>
      </c>
      <c r="T99" s="40">
        <v>4</v>
      </c>
      <c r="U99" s="40">
        <v>5</v>
      </c>
      <c r="V99" s="40">
        <v>6</v>
      </c>
      <c r="W99" s="40">
        <v>6</v>
      </c>
      <c r="X99" s="40" t="s">
        <v>38</v>
      </c>
      <c r="Y99" s="40" t="s">
        <v>486</v>
      </c>
      <c r="Z99" s="40" t="s">
        <v>38</v>
      </c>
      <c r="AA99" s="42"/>
      <c r="AB99" s="40"/>
      <c r="AC99" s="42"/>
      <c r="AD99" s="42"/>
      <c r="AE99" s="42"/>
      <c r="AF99" s="42"/>
      <c r="AG99" s="42"/>
      <c r="AH99" s="42"/>
      <c r="AI99" s="42"/>
      <c r="AJ99" s="42"/>
      <c r="AK99" s="42"/>
      <c r="AL99" s="42"/>
      <c r="AM99" s="42"/>
      <c r="AN99" s="42"/>
      <c r="AO99" s="42"/>
      <c r="AP99" s="42"/>
      <c r="AQ99" s="42"/>
      <c r="AR99" s="42"/>
      <c r="AS99" s="42"/>
    </row>
    <row r="100" spans="1:45" ht="25.5" x14ac:dyDescent="0.35">
      <c r="A100" s="40" t="s">
        <v>42</v>
      </c>
      <c r="B100" s="40" t="s">
        <v>229</v>
      </c>
      <c r="C100" s="40" t="s">
        <v>487</v>
      </c>
      <c r="D100" s="68" t="s">
        <v>39</v>
      </c>
      <c r="E100" s="43"/>
      <c r="F100" s="40" t="s">
        <v>488</v>
      </c>
      <c r="G100" s="40" t="s">
        <v>60</v>
      </c>
      <c r="H100" s="40" t="s">
        <v>39</v>
      </c>
      <c r="I100" s="40" t="s">
        <v>39</v>
      </c>
      <c r="J100" s="41" t="s">
        <v>39</v>
      </c>
      <c r="K100" s="40" t="s">
        <v>39</v>
      </c>
      <c r="L100" s="11">
        <f t="shared" si="1"/>
        <v>5.5</v>
      </c>
      <c r="M100" s="40">
        <v>6</v>
      </c>
      <c r="N100" s="40">
        <v>6</v>
      </c>
      <c r="O100" s="40">
        <v>6</v>
      </c>
      <c r="P100" s="40">
        <v>4.5</v>
      </c>
      <c r="Q100" s="40">
        <v>5.5</v>
      </c>
      <c r="R100" s="40">
        <v>5.5</v>
      </c>
      <c r="S100" s="40">
        <v>5</v>
      </c>
      <c r="T100" s="40">
        <v>4</v>
      </c>
      <c r="U100" s="40">
        <v>5</v>
      </c>
      <c r="V100" s="40">
        <v>7</v>
      </c>
      <c r="W100" s="40">
        <v>6</v>
      </c>
      <c r="X100" s="40"/>
      <c r="Y100" s="40"/>
      <c r="Z100" s="40"/>
      <c r="AA100" s="42"/>
      <c r="AB100" s="40"/>
      <c r="AC100" s="42"/>
      <c r="AD100" s="42"/>
      <c r="AE100" s="42"/>
      <c r="AF100" s="42"/>
      <c r="AG100" s="42"/>
      <c r="AH100" s="42"/>
      <c r="AI100" s="42"/>
      <c r="AJ100" s="42"/>
      <c r="AK100" s="42"/>
      <c r="AL100" s="42"/>
      <c r="AM100" s="42"/>
      <c r="AN100" s="42"/>
      <c r="AO100" s="42"/>
      <c r="AP100" s="42"/>
      <c r="AQ100" s="42"/>
      <c r="AR100" s="42"/>
      <c r="AS100" s="42"/>
    </row>
    <row r="101" spans="1:45" ht="25.5" x14ac:dyDescent="0.35">
      <c r="A101" s="40" t="s">
        <v>42</v>
      </c>
      <c r="B101" s="40" t="s">
        <v>42</v>
      </c>
      <c r="C101" s="40" t="s">
        <v>489</v>
      </c>
      <c r="D101" s="65" t="s">
        <v>663</v>
      </c>
      <c r="E101" s="40" t="s">
        <v>42</v>
      </c>
      <c r="F101" s="40" t="s">
        <v>490</v>
      </c>
      <c r="G101" s="40" t="s">
        <v>60</v>
      </c>
      <c r="H101" s="40" t="s">
        <v>491</v>
      </c>
      <c r="I101" s="40" t="s">
        <v>38</v>
      </c>
      <c r="J101" s="41" t="s">
        <v>38</v>
      </c>
      <c r="K101" s="40" t="s">
        <v>38</v>
      </c>
      <c r="L101" s="11">
        <f t="shared" si="1"/>
        <v>4.5454545454545459</v>
      </c>
      <c r="M101" s="40">
        <v>5</v>
      </c>
      <c r="N101" s="40">
        <v>5</v>
      </c>
      <c r="O101" s="40">
        <v>5</v>
      </c>
      <c r="P101" s="40">
        <v>4.5</v>
      </c>
      <c r="Q101" s="40">
        <v>5.5</v>
      </c>
      <c r="R101" s="40">
        <v>5</v>
      </c>
      <c r="S101" s="40">
        <v>3</v>
      </c>
      <c r="T101" s="40">
        <v>4</v>
      </c>
      <c r="U101" s="40">
        <v>3</v>
      </c>
      <c r="V101" s="40">
        <v>5</v>
      </c>
      <c r="W101" s="40">
        <v>5</v>
      </c>
      <c r="X101" s="40" t="s">
        <v>38</v>
      </c>
      <c r="Y101" s="40" t="s">
        <v>441</v>
      </c>
      <c r="Z101" s="40" t="s">
        <v>38</v>
      </c>
      <c r="AA101" s="42"/>
      <c r="AB101" s="40"/>
      <c r="AC101" s="42"/>
      <c r="AD101" s="42"/>
      <c r="AE101" s="42"/>
      <c r="AF101" s="42"/>
      <c r="AG101" s="42"/>
      <c r="AH101" s="42"/>
      <c r="AI101" s="42"/>
      <c r="AJ101" s="42"/>
      <c r="AK101" s="42"/>
      <c r="AL101" s="42"/>
      <c r="AM101" s="42"/>
      <c r="AN101" s="42"/>
      <c r="AO101" s="42"/>
      <c r="AP101" s="42"/>
      <c r="AQ101" s="42"/>
      <c r="AR101" s="42"/>
      <c r="AS101" s="42"/>
    </row>
    <row r="102" spans="1:45" ht="25.5" x14ac:dyDescent="0.35">
      <c r="A102" s="22" t="s">
        <v>42</v>
      </c>
      <c r="B102" s="22" t="s">
        <v>42</v>
      </c>
      <c r="C102" s="22" t="s">
        <v>492</v>
      </c>
      <c r="D102" s="64">
        <v>278000</v>
      </c>
      <c r="E102" s="24" t="s">
        <v>33</v>
      </c>
      <c r="F102" s="22" t="s">
        <v>493</v>
      </c>
      <c r="G102" s="24" t="s">
        <v>60</v>
      </c>
      <c r="H102" s="24" t="s">
        <v>494</v>
      </c>
      <c r="I102" s="24" t="s">
        <v>38</v>
      </c>
      <c r="J102" s="30" t="s">
        <v>38</v>
      </c>
      <c r="K102" s="24" t="s">
        <v>38</v>
      </c>
      <c r="L102" s="11">
        <f t="shared" si="1"/>
        <v>4.8636363636363633</v>
      </c>
      <c r="M102" s="24">
        <v>5</v>
      </c>
      <c r="N102" s="24">
        <v>5</v>
      </c>
      <c r="O102" s="24">
        <v>4.5</v>
      </c>
      <c r="P102" s="24">
        <v>4.5</v>
      </c>
      <c r="Q102" s="24">
        <v>5.5</v>
      </c>
      <c r="R102" s="24">
        <v>5</v>
      </c>
      <c r="S102" s="24">
        <v>6</v>
      </c>
      <c r="T102" s="24">
        <v>4</v>
      </c>
      <c r="U102" s="24">
        <v>4</v>
      </c>
      <c r="V102" s="24">
        <v>5</v>
      </c>
      <c r="W102" s="24">
        <v>5</v>
      </c>
      <c r="X102" s="24" t="s">
        <v>38</v>
      </c>
      <c r="Y102" s="24" t="s">
        <v>495</v>
      </c>
      <c r="Z102" s="24" t="s">
        <v>48</v>
      </c>
      <c r="AA102" s="25"/>
      <c r="AB102" s="22"/>
      <c r="AC102" s="25"/>
      <c r="AD102" s="25"/>
      <c r="AE102" s="25"/>
      <c r="AF102" s="25"/>
      <c r="AG102" s="25"/>
      <c r="AH102" s="25"/>
      <c r="AI102" s="25"/>
      <c r="AJ102" s="25"/>
      <c r="AK102" s="25"/>
      <c r="AL102" s="25"/>
      <c r="AM102" s="25"/>
      <c r="AN102" s="25"/>
      <c r="AO102" s="25"/>
      <c r="AP102" s="25"/>
      <c r="AQ102" s="25"/>
      <c r="AR102" s="25"/>
      <c r="AS102" s="25"/>
    </row>
    <row r="103" spans="1:45" ht="38.25" x14ac:dyDescent="0.35">
      <c r="A103" s="44" t="s">
        <v>42</v>
      </c>
      <c r="B103" s="44" t="s">
        <v>454</v>
      </c>
      <c r="C103" s="44" t="s">
        <v>496</v>
      </c>
      <c r="D103" s="64">
        <v>1900000</v>
      </c>
      <c r="E103" s="45"/>
      <c r="F103" s="44" t="s">
        <v>497</v>
      </c>
      <c r="G103" s="45" t="s">
        <v>498</v>
      </c>
      <c r="H103" s="45" t="s">
        <v>499</v>
      </c>
      <c r="I103" s="45" t="s">
        <v>48</v>
      </c>
      <c r="J103" s="46" t="s">
        <v>348</v>
      </c>
      <c r="K103" s="45" t="s">
        <v>48</v>
      </c>
      <c r="L103" s="11"/>
      <c r="M103" s="45">
        <v>6</v>
      </c>
      <c r="N103" s="45">
        <v>4.5</v>
      </c>
      <c r="O103" s="45">
        <v>5</v>
      </c>
      <c r="P103" s="45">
        <v>4</v>
      </c>
      <c r="Q103" s="45">
        <v>5</v>
      </c>
      <c r="R103" s="45">
        <v>6.8</v>
      </c>
      <c r="S103" s="45">
        <v>6.5</v>
      </c>
      <c r="T103" s="45">
        <v>6.5</v>
      </c>
      <c r="U103" s="45">
        <v>5</v>
      </c>
      <c r="V103" s="45">
        <v>7</v>
      </c>
      <c r="W103" s="45">
        <v>6.5</v>
      </c>
      <c r="X103" s="45"/>
      <c r="Y103" s="45"/>
      <c r="Z103" s="45"/>
      <c r="AA103" s="47"/>
      <c r="AB103" s="44"/>
      <c r="AC103" s="47"/>
      <c r="AD103" s="47"/>
      <c r="AE103" s="47"/>
      <c r="AF103" s="47"/>
      <c r="AG103" s="47"/>
      <c r="AH103" s="47"/>
      <c r="AI103" s="47"/>
      <c r="AJ103" s="47"/>
      <c r="AK103" s="47"/>
      <c r="AL103" s="47"/>
      <c r="AM103" s="47"/>
      <c r="AN103" s="47"/>
      <c r="AO103" s="47"/>
      <c r="AP103" s="47"/>
      <c r="AQ103" s="47"/>
      <c r="AR103" s="47"/>
      <c r="AS103" s="47"/>
    </row>
    <row r="104" spans="1:45" ht="12.75" x14ac:dyDescent="0.35">
      <c r="A104" s="44" t="s">
        <v>454</v>
      </c>
      <c r="B104" s="44" t="s">
        <v>454</v>
      </c>
      <c r="C104" s="44" t="s">
        <v>500</v>
      </c>
      <c r="D104" s="64">
        <v>199000</v>
      </c>
      <c r="E104" s="45" t="s">
        <v>454</v>
      </c>
      <c r="F104" s="44" t="s">
        <v>501</v>
      </c>
      <c r="G104" s="45" t="s">
        <v>60</v>
      </c>
      <c r="H104" s="45" t="s">
        <v>499</v>
      </c>
      <c r="I104" s="45" t="s">
        <v>38</v>
      </c>
      <c r="J104" s="46" t="s">
        <v>38</v>
      </c>
      <c r="K104" s="45" t="s">
        <v>38</v>
      </c>
      <c r="L104" s="11">
        <f t="shared" ref="L104:L107" si="2">SUM(M104:W104)/11</f>
        <v>2.5</v>
      </c>
      <c r="M104" s="45">
        <v>4</v>
      </c>
      <c r="N104" s="45">
        <v>4</v>
      </c>
      <c r="O104" s="45">
        <v>4</v>
      </c>
      <c r="P104" s="45">
        <v>3.5</v>
      </c>
      <c r="Q104" s="45">
        <v>4</v>
      </c>
      <c r="R104" s="45">
        <v>4</v>
      </c>
      <c r="S104" s="45" t="s">
        <v>39</v>
      </c>
      <c r="T104" s="45" t="s">
        <v>39</v>
      </c>
      <c r="U104" s="45" t="s">
        <v>39</v>
      </c>
      <c r="V104" s="45" t="s">
        <v>39</v>
      </c>
      <c r="W104" s="45">
        <v>4</v>
      </c>
      <c r="X104" s="45" t="s">
        <v>38</v>
      </c>
      <c r="Y104" s="45" t="s">
        <v>502</v>
      </c>
      <c r="Z104" s="45" t="s">
        <v>38</v>
      </c>
      <c r="AA104" s="47"/>
      <c r="AB104" s="44"/>
      <c r="AC104" s="47"/>
      <c r="AD104" s="47"/>
      <c r="AE104" s="47"/>
      <c r="AF104" s="47"/>
      <c r="AG104" s="47"/>
      <c r="AH104" s="47"/>
      <c r="AI104" s="47"/>
      <c r="AJ104" s="47"/>
      <c r="AK104" s="47"/>
      <c r="AL104" s="47"/>
      <c r="AM104" s="47"/>
      <c r="AN104" s="47"/>
      <c r="AO104" s="47"/>
      <c r="AP104" s="47"/>
      <c r="AQ104" s="47"/>
      <c r="AR104" s="47"/>
      <c r="AS104" s="47"/>
    </row>
    <row r="105" spans="1:45" ht="38.25" x14ac:dyDescent="0.35">
      <c r="A105" s="44" t="s">
        <v>454</v>
      </c>
      <c r="B105" s="44" t="s">
        <v>454</v>
      </c>
      <c r="C105" s="44" t="s">
        <v>503</v>
      </c>
      <c r="D105" s="65" t="s">
        <v>740</v>
      </c>
      <c r="E105" s="45" t="s">
        <v>454</v>
      </c>
      <c r="F105" s="44" t="s">
        <v>504</v>
      </c>
      <c r="G105" s="45" t="s">
        <v>60</v>
      </c>
      <c r="H105" s="45" t="s">
        <v>505</v>
      </c>
      <c r="I105" s="45" t="s">
        <v>38</v>
      </c>
      <c r="J105" s="46" t="s">
        <v>38</v>
      </c>
      <c r="K105" s="45" t="s">
        <v>38</v>
      </c>
      <c r="L105" s="11">
        <f t="shared" si="2"/>
        <v>2.5</v>
      </c>
      <c r="M105" s="45">
        <v>4</v>
      </c>
      <c r="N105" s="45">
        <v>4</v>
      </c>
      <c r="O105" s="45">
        <v>4</v>
      </c>
      <c r="P105" s="45">
        <v>3.5</v>
      </c>
      <c r="Q105" s="45">
        <v>4</v>
      </c>
      <c r="R105" s="45">
        <v>4</v>
      </c>
      <c r="S105" s="45" t="s">
        <v>39</v>
      </c>
      <c r="T105" s="45" t="s">
        <v>39</v>
      </c>
      <c r="U105" s="45" t="s">
        <v>39</v>
      </c>
      <c r="V105" s="45" t="s">
        <v>39</v>
      </c>
      <c r="W105" s="45">
        <v>4</v>
      </c>
      <c r="X105" s="45" t="s">
        <v>38</v>
      </c>
      <c r="Y105" s="45" t="s">
        <v>502</v>
      </c>
      <c r="Z105" s="45" t="s">
        <v>38</v>
      </c>
      <c r="AA105" s="47"/>
      <c r="AB105" s="44"/>
      <c r="AC105" s="47"/>
      <c r="AD105" s="47"/>
      <c r="AE105" s="47"/>
      <c r="AF105" s="47"/>
      <c r="AG105" s="47"/>
      <c r="AH105" s="47"/>
      <c r="AI105" s="47"/>
      <c r="AJ105" s="47"/>
      <c r="AK105" s="47"/>
      <c r="AL105" s="47"/>
      <c r="AM105" s="47"/>
      <c r="AN105" s="47"/>
      <c r="AO105" s="47"/>
      <c r="AP105" s="47"/>
      <c r="AQ105" s="47"/>
      <c r="AR105" s="47"/>
      <c r="AS105" s="47"/>
    </row>
    <row r="106" spans="1:45" ht="25.5" x14ac:dyDescent="0.35">
      <c r="A106" s="44" t="s">
        <v>454</v>
      </c>
      <c r="B106" s="44" t="s">
        <v>454</v>
      </c>
      <c r="C106" s="44" t="s">
        <v>506</v>
      </c>
      <c r="D106" s="64">
        <v>199000</v>
      </c>
      <c r="E106" s="45" t="s">
        <v>454</v>
      </c>
      <c r="F106" s="44" t="s">
        <v>507</v>
      </c>
      <c r="G106" s="45" t="s">
        <v>60</v>
      </c>
      <c r="H106" s="45" t="s">
        <v>505</v>
      </c>
      <c r="I106" s="45" t="s">
        <v>38</v>
      </c>
      <c r="J106" s="46" t="s">
        <v>38</v>
      </c>
      <c r="K106" s="45" t="s">
        <v>38</v>
      </c>
      <c r="L106" s="11">
        <f t="shared" si="2"/>
        <v>2.2272727272727271</v>
      </c>
      <c r="M106" s="45">
        <v>3</v>
      </c>
      <c r="N106" s="45">
        <v>4</v>
      </c>
      <c r="O106" s="45">
        <v>4</v>
      </c>
      <c r="P106" s="45">
        <v>3.5</v>
      </c>
      <c r="Q106" s="45">
        <v>4</v>
      </c>
      <c r="R106" s="45">
        <v>3</v>
      </c>
      <c r="S106" s="45" t="s">
        <v>39</v>
      </c>
      <c r="T106" s="45" t="s">
        <v>39</v>
      </c>
      <c r="U106" s="45" t="s">
        <v>39</v>
      </c>
      <c r="V106" s="45" t="s">
        <v>39</v>
      </c>
      <c r="W106" s="45">
        <v>3</v>
      </c>
      <c r="X106" s="45" t="s">
        <v>38</v>
      </c>
      <c r="Y106" s="45" t="s">
        <v>502</v>
      </c>
      <c r="Z106" s="45" t="s">
        <v>38</v>
      </c>
      <c r="AA106" s="47"/>
      <c r="AB106" s="44"/>
      <c r="AC106" s="47"/>
      <c r="AD106" s="47"/>
      <c r="AE106" s="47"/>
      <c r="AF106" s="47"/>
      <c r="AG106" s="47"/>
      <c r="AH106" s="47"/>
      <c r="AI106" s="47"/>
      <c r="AJ106" s="47"/>
      <c r="AK106" s="47"/>
      <c r="AL106" s="47"/>
      <c r="AM106" s="47"/>
      <c r="AN106" s="47"/>
      <c r="AO106" s="47"/>
      <c r="AP106" s="47"/>
      <c r="AQ106" s="47"/>
      <c r="AR106" s="47"/>
      <c r="AS106" s="47"/>
    </row>
    <row r="107" spans="1:45" ht="38.25" x14ac:dyDescent="0.35">
      <c r="A107" s="40" t="s">
        <v>42</v>
      </c>
      <c r="B107" s="40" t="s">
        <v>42</v>
      </c>
      <c r="C107" s="40" t="s">
        <v>508</v>
      </c>
      <c r="D107" s="64">
        <v>839000</v>
      </c>
      <c r="E107" s="48" t="s">
        <v>59</v>
      </c>
      <c r="F107" s="40" t="s">
        <v>509</v>
      </c>
      <c r="G107" s="48" t="s">
        <v>60</v>
      </c>
      <c r="H107" s="48" t="s">
        <v>510</v>
      </c>
      <c r="I107" s="48" t="s">
        <v>38</v>
      </c>
      <c r="J107" s="49" t="s">
        <v>38</v>
      </c>
      <c r="K107" s="48" t="s">
        <v>215</v>
      </c>
      <c r="L107" s="11">
        <f t="shared" si="2"/>
        <v>6.5909090909090908</v>
      </c>
      <c r="M107" s="48">
        <v>6.5</v>
      </c>
      <c r="N107" s="48">
        <v>7</v>
      </c>
      <c r="O107" s="48">
        <v>6.5</v>
      </c>
      <c r="P107" s="48">
        <v>6.5</v>
      </c>
      <c r="Q107" s="48">
        <v>6.5</v>
      </c>
      <c r="R107" s="48">
        <v>6.5</v>
      </c>
      <c r="S107" s="48">
        <v>6</v>
      </c>
      <c r="T107" s="48">
        <v>6.5</v>
      </c>
      <c r="U107" s="48">
        <v>7</v>
      </c>
      <c r="V107" s="48">
        <v>7</v>
      </c>
      <c r="W107" s="48">
        <v>6.5</v>
      </c>
      <c r="X107" s="48" t="s">
        <v>38</v>
      </c>
      <c r="Y107" s="48" t="s">
        <v>36</v>
      </c>
      <c r="Z107" s="48" t="s">
        <v>48</v>
      </c>
      <c r="AA107" s="42"/>
      <c r="AB107" s="40"/>
      <c r="AC107" s="42"/>
      <c r="AD107" s="42"/>
      <c r="AE107" s="42"/>
      <c r="AF107" s="42"/>
      <c r="AG107" s="42"/>
      <c r="AH107" s="42"/>
      <c r="AI107" s="42"/>
      <c r="AJ107" s="42"/>
      <c r="AK107" s="42"/>
      <c r="AL107" s="42"/>
      <c r="AM107" s="42"/>
      <c r="AN107" s="42"/>
      <c r="AO107" s="42"/>
      <c r="AP107" s="42"/>
      <c r="AQ107" s="42"/>
      <c r="AR107" s="42"/>
      <c r="AS107" s="42"/>
    </row>
    <row r="108" spans="1:45" ht="12.75" x14ac:dyDescent="0.35">
      <c r="A108" s="40"/>
      <c r="B108" s="40"/>
      <c r="C108" s="40"/>
      <c r="D108" s="68"/>
      <c r="E108" s="48"/>
      <c r="F108" s="40"/>
      <c r="G108" s="48"/>
      <c r="H108" s="48"/>
      <c r="I108" s="48"/>
      <c r="J108" s="48"/>
      <c r="K108" s="48"/>
      <c r="L108" s="50"/>
      <c r="M108" s="48"/>
      <c r="N108" s="48"/>
      <c r="O108" s="48"/>
      <c r="P108" s="48"/>
      <c r="Q108" s="48"/>
      <c r="R108" s="48"/>
      <c r="S108" s="48"/>
      <c r="T108" s="48"/>
      <c r="U108" s="48"/>
      <c r="V108" s="48"/>
      <c r="W108" s="48"/>
      <c r="X108" s="48"/>
      <c r="Y108" s="48"/>
      <c r="Z108" s="48"/>
      <c r="AA108" s="42"/>
      <c r="AB108" s="40"/>
      <c r="AC108" s="42"/>
      <c r="AD108" s="42"/>
      <c r="AE108" s="42"/>
      <c r="AF108" s="42"/>
      <c r="AG108" s="42"/>
      <c r="AH108" s="42"/>
      <c r="AI108" s="42"/>
      <c r="AJ108" s="42"/>
      <c r="AK108" s="42"/>
      <c r="AL108" s="42"/>
      <c r="AM108" s="42"/>
      <c r="AN108" s="42"/>
      <c r="AO108" s="42"/>
      <c r="AP108" s="42"/>
      <c r="AQ108" s="42"/>
      <c r="AR108" s="42"/>
      <c r="AS108" s="42"/>
    </row>
    <row r="109" spans="1:45" ht="12.75" x14ac:dyDescent="0.35">
      <c r="A109" s="51"/>
      <c r="B109" s="51"/>
      <c r="C109" s="51"/>
      <c r="D109" s="69"/>
      <c r="E109" s="52"/>
      <c r="F109" s="51"/>
      <c r="G109" s="52"/>
      <c r="H109" s="52"/>
      <c r="I109" s="52"/>
      <c r="J109" s="52"/>
      <c r="K109" s="52"/>
      <c r="L109" s="50"/>
      <c r="M109" s="52"/>
      <c r="N109" s="52"/>
      <c r="O109" s="52"/>
      <c r="P109" s="52"/>
      <c r="Q109" s="52"/>
      <c r="R109" s="52"/>
      <c r="S109" s="52"/>
      <c r="T109" s="52"/>
      <c r="U109" s="52"/>
      <c r="V109" s="52"/>
      <c r="W109" s="52"/>
      <c r="X109" s="52"/>
      <c r="Y109" s="52"/>
      <c r="Z109" s="52"/>
      <c r="AB109" s="51"/>
    </row>
    <row r="110" spans="1:45" ht="12.75" x14ac:dyDescent="0.35">
      <c r="A110" s="51"/>
      <c r="B110" s="51"/>
      <c r="C110" s="51"/>
      <c r="D110" s="69"/>
      <c r="E110" s="52"/>
      <c r="F110" s="51"/>
      <c r="G110" s="52"/>
      <c r="H110" s="52"/>
      <c r="I110" s="52"/>
      <c r="J110" s="52"/>
      <c r="K110" s="52"/>
      <c r="L110" s="50"/>
      <c r="M110" s="52"/>
      <c r="N110" s="52"/>
      <c r="O110" s="52"/>
      <c r="P110" s="52"/>
      <c r="Q110" s="52"/>
      <c r="R110" s="52"/>
      <c r="S110" s="52"/>
      <c r="T110" s="52"/>
      <c r="U110" s="52"/>
      <c r="V110" s="52"/>
      <c r="W110" s="52"/>
      <c r="X110" s="52"/>
      <c r="Y110" s="52"/>
      <c r="Z110" s="52"/>
      <c r="AB110" s="51"/>
    </row>
    <row r="111" spans="1:45" ht="12.75" x14ac:dyDescent="0.35">
      <c r="A111" s="51"/>
      <c r="B111" s="51"/>
      <c r="C111" s="51"/>
      <c r="D111" s="69"/>
      <c r="E111" s="52"/>
      <c r="F111" s="51"/>
      <c r="G111" s="52"/>
      <c r="H111" s="52"/>
      <c r="I111" s="52"/>
      <c r="J111" s="52"/>
      <c r="K111" s="52"/>
      <c r="L111" s="50"/>
      <c r="M111" s="52"/>
      <c r="N111" s="52"/>
      <c r="O111" s="52"/>
      <c r="P111" s="52"/>
      <c r="Q111" s="52"/>
      <c r="R111" s="52"/>
      <c r="S111" s="52"/>
      <c r="T111" s="52"/>
      <c r="U111" s="52"/>
      <c r="V111" s="52"/>
      <c r="W111" s="52"/>
      <c r="X111" s="52"/>
      <c r="Y111" s="52"/>
      <c r="Z111" s="52"/>
      <c r="AB111" s="51"/>
    </row>
    <row r="112" spans="1:45" ht="12.75" x14ac:dyDescent="0.35">
      <c r="A112" s="51"/>
      <c r="B112" s="51"/>
      <c r="C112" s="51"/>
      <c r="D112" s="69"/>
      <c r="E112" s="52"/>
      <c r="F112" s="51"/>
      <c r="G112" s="52"/>
      <c r="H112" s="52"/>
      <c r="I112" s="52"/>
      <c r="J112" s="52"/>
      <c r="K112" s="52"/>
      <c r="L112" s="50"/>
      <c r="M112" s="52"/>
      <c r="N112" s="52"/>
      <c r="O112" s="52"/>
      <c r="P112" s="52"/>
      <c r="Q112" s="52"/>
      <c r="R112" s="52"/>
      <c r="S112" s="52"/>
      <c r="T112" s="52"/>
      <c r="U112" s="52"/>
      <c r="V112" s="52"/>
      <c r="W112" s="52"/>
      <c r="X112" s="52"/>
      <c r="Y112" s="52"/>
      <c r="Z112" s="52"/>
      <c r="AB112" s="51"/>
    </row>
    <row r="113" spans="1:28" ht="12.75" x14ac:dyDescent="0.35">
      <c r="A113" s="51"/>
      <c r="B113" s="51"/>
      <c r="C113" s="51"/>
      <c r="D113" s="69"/>
      <c r="E113" s="51"/>
      <c r="F113" s="51"/>
      <c r="G113" s="51"/>
      <c r="H113" s="51"/>
      <c r="I113" s="51"/>
      <c r="J113" s="51"/>
      <c r="K113" s="51"/>
      <c r="L113" s="11"/>
      <c r="M113" s="51"/>
      <c r="N113" s="51"/>
      <c r="O113" s="51"/>
      <c r="P113" s="51"/>
      <c r="Q113" s="51"/>
      <c r="R113" s="51"/>
      <c r="S113" s="51"/>
      <c r="T113" s="51"/>
      <c r="U113" s="51"/>
      <c r="V113" s="51"/>
      <c r="W113" s="51"/>
      <c r="X113" s="51"/>
      <c r="Y113" s="51"/>
      <c r="Z113" s="51"/>
      <c r="AB113" s="51"/>
    </row>
    <row r="114" spans="1:28" ht="12.75" x14ac:dyDescent="0.35">
      <c r="A114" s="51"/>
      <c r="B114" s="51"/>
      <c r="C114" s="51"/>
      <c r="D114" s="69"/>
      <c r="E114" s="51"/>
      <c r="F114" s="51"/>
      <c r="G114" s="51"/>
      <c r="H114" s="51"/>
      <c r="I114" s="51"/>
      <c r="J114" s="51"/>
      <c r="K114" s="51"/>
      <c r="L114" s="11"/>
      <c r="M114" s="51"/>
      <c r="N114" s="51"/>
      <c r="O114" s="51"/>
      <c r="P114" s="51"/>
      <c r="Q114" s="51"/>
      <c r="R114" s="51"/>
      <c r="S114" s="51"/>
      <c r="T114" s="51"/>
      <c r="U114" s="51"/>
      <c r="V114" s="51"/>
      <c r="W114" s="51"/>
      <c r="X114" s="51"/>
      <c r="Y114" s="51"/>
      <c r="Z114" s="51"/>
      <c r="AB114" s="51"/>
    </row>
    <row r="115" spans="1:28" ht="12.75" x14ac:dyDescent="0.35">
      <c r="A115" s="51"/>
      <c r="B115" s="51"/>
      <c r="C115" s="51"/>
      <c r="D115" s="69"/>
      <c r="E115" s="51"/>
      <c r="F115" s="51"/>
      <c r="G115" s="51"/>
      <c r="H115" s="51"/>
      <c r="I115" s="51"/>
      <c r="J115" s="51"/>
      <c r="K115" s="51"/>
      <c r="L115" s="11"/>
      <c r="M115" s="51"/>
      <c r="N115" s="51"/>
      <c r="O115" s="51"/>
      <c r="P115" s="51"/>
      <c r="Q115" s="51"/>
      <c r="R115" s="51"/>
      <c r="S115" s="51"/>
      <c r="T115" s="51"/>
      <c r="U115" s="51"/>
      <c r="V115" s="51"/>
      <c r="W115" s="51"/>
      <c r="X115" s="51"/>
      <c r="Y115" s="51"/>
      <c r="Z115" s="51"/>
      <c r="AB115" s="51"/>
    </row>
    <row r="116" spans="1:28" ht="12.75" x14ac:dyDescent="0.35">
      <c r="L116" s="53"/>
    </row>
    <row r="117" spans="1:28" ht="12.75" x14ac:dyDescent="0.35">
      <c r="L117" s="53"/>
    </row>
    <row r="118" spans="1:28" ht="12.75" x14ac:dyDescent="0.35">
      <c r="L118" s="53"/>
    </row>
    <row r="119" spans="1:28" ht="12.75" x14ac:dyDescent="0.35">
      <c r="L119" s="53"/>
    </row>
    <row r="120" spans="1:28" ht="12.75" x14ac:dyDescent="0.35">
      <c r="L120" s="53"/>
    </row>
    <row r="121" spans="1:28" ht="12.75" x14ac:dyDescent="0.35">
      <c r="L121" s="53"/>
    </row>
    <row r="122" spans="1:28" ht="12.75" x14ac:dyDescent="0.35">
      <c r="L122" s="53"/>
    </row>
    <row r="123" spans="1:28" ht="12.75" x14ac:dyDescent="0.35">
      <c r="L123" s="53"/>
    </row>
    <row r="124" spans="1:28" ht="12.75" x14ac:dyDescent="0.35">
      <c r="L124" s="53"/>
    </row>
    <row r="125" spans="1:28" ht="12.75" x14ac:dyDescent="0.35">
      <c r="L125" s="53"/>
    </row>
    <row r="126" spans="1:28" ht="12.75" x14ac:dyDescent="0.35">
      <c r="L126" s="53"/>
    </row>
    <row r="127" spans="1:28" ht="12.75" x14ac:dyDescent="0.35">
      <c r="L127" s="53"/>
    </row>
    <row r="128" spans="1:28" ht="12.75" x14ac:dyDescent="0.35">
      <c r="L128" s="53"/>
    </row>
    <row r="129" spans="12:12" ht="12.75" x14ac:dyDescent="0.35">
      <c r="L129" s="53"/>
    </row>
    <row r="130" spans="12:12" ht="12.75" x14ac:dyDescent="0.35">
      <c r="L130" s="53"/>
    </row>
    <row r="131" spans="12:12" ht="12.75" x14ac:dyDescent="0.35">
      <c r="L131" s="53"/>
    </row>
    <row r="132" spans="12:12" ht="12.75" x14ac:dyDescent="0.35">
      <c r="L132" s="53"/>
    </row>
    <row r="133" spans="12:12" ht="12.75" x14ac:dyDescent="0.35">
      <c r="L133" s="53"/>
    </row>
    <row r="134" spans="12:12" ht="12.75" x14ac:dyDescent="0.35">
      <c r="L134" s="53"/>
    </row>
    <row r="135" spans="12:12" ht="12.75" x14ac:dyDescent="0.35">
      <c r="L135" s="53"/>
    </row>
    <row r="136" spans="12:12" ht="12.75" x14ac:dyDescent="0.35">
      <c r="L136" s="53"/>
    </row>
    <row r="137" spans="12:12" ht="12.75" x14ac:dyDescent="0.35">
      <c r="L137" s="53"/>
    </row>
    <row r="138" spans="12:12" ht="12.75" x14ac:dyDescent="0.35">
      <c r="L138" s="53"/>
    </row>
    <row r="139" spans="12:12" ht="12.75" x14ac:dyDescent="0.35">
      <c r="L139" s="53"/>
    </row>
    <row r="140" spans="12:12" ht="12.75" x14ac:dyDescent="0.35">
      <c r="L140" s="53"/>
    </row>
    <row r="141" spans="12:12" ht="12.75" x14ac:dyDescent="0.35">
      <c r="L141" s="53"/>
    </row>
    <row r="142" spans="12:12" ht="12.75" x14ac:dyDescent="0.35">
      <c r="L142" s="53"/>
    </row>
    <row r="143" spans="12:12" ht="12.75" x14ac:dyDescent="0.35">
      <c r="L143" s="53"/>
    </row>
    <row r="144" spans="12:12" ht="12.75" x14ac:dyDescent="0.35">
      <c r="L144" s="53"/>
    </row>
    <row r="145" spans="12:12" ht="12.75" x14ac:dyDescent="0.35">
      <c r="L145" s="53"/>
    </row>
    <row r="146" spans="12:12" ht="12.75" x14ac:dyDescent="0.35">
      <c r="L146" s="53"/>
    </row>
    <row r="147" spans="12:12" ht="12.75" x14ac:dyDescent="0.35">
      <c r="L147" s="53"/>
    </row>
    <row r="148" spans="12:12" ht="12.75" x14ac:dyDescent="0.35">
      <c r="L148" s="53"/>
    </row>
    <row r="149" spans="12:12" ht="12.75" x14ac:dyDescent="0.35">
      <c r="L149" s="53"/>
    </row>
    <row r="150" spans="12:12" ht="12.75" x14ac:dyDescent="0.35">
      <c r="L150" s="53"/>
    </row>
    <row r="151" spans="12:12" ht="12.75" x14ac:dyDescent="0.35">
      <c r="L151" s="53"/>
    </row>
    <row r="152" spans="12:12" ht="12.75" x14ac:dyDescent="0.35">
      <c r="L152" s="53"/>
    </row>
    <row r="153" spans="12:12" ht="12.75" x14ac:dyDescent="0.35">
      <c r="L153" s="53"/>
    </row>
    <row r="154" spans="12:12" ht="12.75" x14ac:dyDescent="0.35">
      <c r="L154" s="53"/>
    </row>
    <row r="155" spans="12:12" ht="12.75" x14ac:dyDescent="0.35">
      <c r="L155" s="53"/>
    </row>
    <row r="156" spans="12:12" ht="12.75" x14ac:dyDescent="0.35">
      <c r="L156" s="53"/>
    </row>
    <row r="157" spans="12:12" ht="12.75" x14ac:dyDescent="0.35">
      <c r="L157" s="53"/>
    </row>
    <row r="158" spans="12:12" ht="12.75" x14ac:dyDescent="0.35">
      <c r="L158" s="53"/>
    </row>
    <row r="159" spans="12:12" ht="12.75" x14ac:dyDescent="0.35">
      <c r="L159" s="53"/>
    </row>
    <row r="160" spans="12:12" ht="12.75" x14ac:dyDescent="0.35">
      <c r="L160" s="53"/>
    </row>
    <row r="161" spans="12:12" ht="12.75" x14ac:dyDescent="0.35">
      <c r="L161" s="53"/>
    </row>
    <row r="162" spans="12:12" ht="12.75" x14ac:dyDescent="0.35">
      <c r="L162" s="53"/>
    </row>
    <row r="163" spans="12:12" ht="12.75" x14ac:dyDescent="0.35">
      <c r="L163" s="53"/>
    </row>
    <row r="164" spans="12:12" ht="12.75" x14ac:dyDescent="0.35">
      <c r="L164" s="53"/>
    </row>
    <row r="165" spans="12:12" ht="12.75" x14ac:dyDescent="0.35">
      <c r="L165" s="53"/>
    </row>
    <row r="166" spans="12:12" ht="12.75" x14ac:dyDescent="0.35">
      <c r="L166" s="53"/>
    </row>
    <row r="167" spans="12:12" ht="12.75" x14ac:dyDescent="0.35">
      <c r="L167" s="53"/>
    </row>
    <row r="168" spans="12:12" ht="12.75" x14ac:dyDescent="0.35">
      <c r="L168" s="53"/>
    </row>
    <row r="169" spans="12:12" ht="12.75" x14ac:dyDescent="0.35">
      <c r="L169" s="53"/>
    </row>
    <row r="170" spans="12:12" ht="12.75" x14ac:dyDescent="0.35">
      <c r="L170" s="53"/>
    </row>
    <row r="171" spans="12:12" ht="12.75" x14ac:dyDescent="0.35">
      <c r="L171" s="53"/>
    </row>
    <row r="172" spans="12:12" ht="12.75" x14ac:dyDescent="0.35">
      <c r="L172" s="53"/>
    </row>
    <row r="173" spans="12:12" ht="12.75" x14ac:dyDescent="0.35">
      <c r="L173" s="53"/>
    </row>
    <row r="174" spans="12:12" ht="12.75" x14ac:dyDescent="0.35">
      <c r="L174" s="53"/>
    </row>
    <row r="175" spans="12:12" ht="12.75" x14ac:dyDescent="0.35">
      <c r="L175" s="53"/>
    </row>
    <row r="176" spans="12:12" ht="12.75" x14ac:dyDescent="0.35">
      <c r="L176" s="53"/>
    </row>
    <row r="177" spans="12:12" ht="12.75" x14ac:dyDescent="0.35">
      <c r="L177" s="53"/>
    </row>
    <row r="178" spans="12:12" ht="12.75" x14ac:dyDescent="0.35">
      <c r="L178" s="53"/>
    </row>
    <row r="179" spans="12:12" ht="12.75" x14ac:dyDescent="0.35">
      <c r="L179" s="53"/>
    </row>
    <row r="180" spans="12:12" ht="12.75" x14ac:dyDescent="0.35">
      <c r="L180" s="53"/>
    </row>
    <row r="181" spans="12:12" ht="12.75" x14ac:dyDescent="0.35">
      <c r="L181" s="53"/>
    </row>
    <row r="182" spans="12:12" ht="12.75" x14ac:dyDescent="0.35">
      <c r="L182" s="53"/>
    </row>
    <row r="183" spans="12:12" ht="12.75" x14ac:dyDescent="0.35">
      <c r="L183" s="53"/>
    </row>
    <row r="184" spans="12:12" ht="12.75" x14ac:dyDescent="0.35">
      <c r="L184" s="53"/>
    </row>
    <row r="185" spans="12:12" ht="12.75" x14ac:dyDescent="0.35">
      <c r="L185" s="53"/>
    </row>
    <row r="186" spans="12:12" ht="12.75" x14ac:dyDescent="0.35">
      <c r="L186" s="53"/>
    </row>
    <row r="187" spans="12:12" ht="12.75" x14ac:dyDescent="0.35">
      <c r="L187" s="53"/>
    </row>
    <row r="188" spans="12:12" ht="12.75" x14ac:dyDescent="0.35">
      <c r="L188" s="53"/>
    </row>
    <row r="189" spans="12:12" ht="12.75" x14ac:dyDescent="0.35">
      <c r="L189" s="53"/>
    </row>
    <row r="190" spans="12:12" ht="12.75" x14ac:dyDescent="0.35">
      <c r="L190" s="53"/>
    </row>
    <row r="191" spans="12:12" ht="12.75" x14ac:dyDescent="0.35">
      <c r="L191" s="53"/>
    </row>
    <row r="192" spans="12:12" ht="12.75" x14ac:dyDescent="0.35">
      <c r="L192" s="53"/>
    </row>
    <row r="193" spans="12:12" ht="12.75" x14ac:dyDescent="0.35">
      <c r="L193" s="53"/>
    </row>
    <row r="194" spans="12:12" ht="12.75" x14ac:dyDescent="0.35">
      <c r="L194" s="53"/>
    </row>
    <row r="195" spans="12:12" ht="12.75" x14ac:dyDescent="0.35">
      <c r="L195" s="53"/>
    </row>
    <row r="196" spans="12:12" ht="12.75" x14ac:dyDescent="0.35">
      <c r="L196" s="53"/>
    </row>
    <row r="197" spans="12:12" ht="12.75" x14ac:dyDescent="0.35">
      <c r="L197" s="53"/>
    </row>
    <row r="198" spans="12:12" ht="12.75" x14ac:dyDescent="0.35">
      <c r="L198" s="53"/>
    </row>
    <row r="199" spans="12:12" ht="12.75" x14ac:dyDescent="0.35">
      <c r="L199" s="53"/>
    </row>
    <row r="200" spans="12:12" ht="12.75" x14ac:dyDescent="0.35">
      <c r="L200" s="53"/>
    </row>
    <row r="201" spans="12:12" ht="12.75" x14ac:dyDescent="0.35">
      <c r="L201" s="53"/>
    </row>
    <row r="202" spans="12:12" ht="12.75" x14ac:dyDescent="0.35">
      <c r="L202" s="53"/>
    </row>
    <row r="203" spans="12:12" ht="12.75" x14ac:dyDescent="0.35">
      <c r="L203" s="25"/>
    </row>
    <row r="204" spans="12:12" ht="12.75" x14ac:dyDescent="0.35">
      <c r="L204" s="25"/>
    </row>
    <row r="205" spans="12:12" ht="12.75" x14ac:dyDescent="0.35">
      <c r="L205" s="25"/>
    </row>
    <row r="206" spans="12:12" ht="12.75" x14ac:dyDescent="0.35">
      <c r="L206" s="25"/>
    </row>
    <row r="207" spans="12:12" ht="12.75" x14ac:dyDescent="0.35">
      <c r="L207" s="25"/>
    </row>
    <row r="208" spans="12:12" ht="12.75" x14ac:dyDescent="0.35">
      <c r="L208" s="25"/>
    </row>
    <row r="209" spans="12:12" ht="12.75" x14ac:dyDescent="0.35">
      <c r="L209" s="25"/>
    </row>
    <row r="210" spans="12:12" ht="12.75" x14ac:dyDescent="0.35">
      <c r="L210" s="25"/>
    </row>
    <row r="211" spans="12:12" ht="12.75" x14ac:dyDescent="0.35">
      <c r="L211" s="25"/>
    </row>
    <row r="212" spans="12:12" ht="12.75" x14ac:dyDescent="0.35">
      <c r="L212" s="25"/>
    </row>
    <row r="213" spans="12:12" ht="12.75" x14ac:dyDescent="0.35">
      <c r="L213" s="25"/>
    </row>
    <row r="214" spans="12:12" ht="12.75" x14ac:dyDescent="0.35">
      <c r="L214" s="25"/>
    </row>
    <row r="215" spans="12:12" ht="12.75" x14ac:dyDescent="0.35">
      <c r="L215" s="25"/>
    </row>
    <row r="216" spans="12:12" ht="12.75" x14ac:dyDescent="0.35">
      <c r="L216" s="25"/>
    </row>
    <row r="217" spans="12:12" ht="12.75" x14ac:dyDescent="0.35">
      <c r="L217" s="25"/>
    </row>
    <row r="218" spans="12:12" ht="12.75" x14ac:dyDescent="0.35">
      <c r="L218" s="25"/>
    </row>
    <row r="219" spans="12:12" ht="12.75" x14ac:dyDescent="0.35">
      <c r="L219" s="25"/>
    </row>
    <row r="220" spans="12:12" ht="12.75" x14ac:dyDescent="0.35">
      <c r="L220" s="25"/>
    </row>
    <row r="221" spans="12:12" ht="12.75" x14ac:dyDescent="0.35">
      <c r="L221" s="25"/>
    </row>
    <row r="222" spans="12:12" ht="12.75" x14ac:dyDescent="0.35">
      <c r="L222" s="25"/>
    </row>
    <row r="223" spans="12:12" ht="12.75" x14ac:dyDescent="0.35">
      <c r="L223" s="25"/>
    </row>
    <row r="224" spans="12:12" ht="12.75" x14ac:dyDescent="0.35">
      <c r="L224" s="25"/>
    </row>
    <row r="225" spans="12:12" ht="12.75" x14ac:dyDescent="0.35">
      <c r="L225" s="25"/>
    </row>
    <row r="226" spans="12:12" ht="12.75" x14ac:dyDescent="0.35">
      <c r="L226" s="25"/>
    </row>
    <row r="227" spans="12:12" ht="12.75" x14ac:dyDescent="0.35">
      <c r="L227" s="25"/>
    </row>
    <row r="228" spans="12:12" ht="12.75" x14ac:dyDescent="0.35">
      <c r="L228" s="25"/>
    </row>
    <row r="229" spans="12:12" ht="12.75" x14ac:dyDescent="0.35">
      <c r="L229" s="25"/>
    </row>
    <row r="230" spans="12:12" ht="12.75" x14ac:dyDescent="0.35">
      <c r="L230" s="25"/>
    </row>
    <row r="231" spans="12:12" ht="12.75" x14ac:dyDescent="0.35">
      <c r="L231" s="25"/>
    </row>
    <row r="232" spans="12:12" ht="12.75" x14ac:dyDescent="0.35">
      <c r="L232" s="25"/>
    </row>
    <row r="233" spans="12:12" ht="12.75" x14ac:dyDescent="0.35">
      <c r="L233" s="25"/>
    </row>
    <row r="234" spans="12:12" ht="12.75" x14ac:dyDescent="0.35">
      <c r="L234" s="25"/>
    </row>
    <row r="235" spans="12:12" ht="12.75" x14ac:dyDescent="0.35">
      <c r="L235" s="25"/>
    </row>
    <row r="236" spans="12:12" ht="12.75" x14ac:dyDescent="0.35">
      <c r="L236" s="25"/>
    </row>
    <row r="237" spans="12:12" ht="12.75" x14ac:dyDescent="0.35">
      <c r="L237" s="25"/>
    </row>
    <row r="238" spans="12:12" ht="12.75" x14ac:dyDescent="0.35">
      <c r="L238" s="25"/>
    </row>
    <row r="239" spans="12:12" ht="12.75" x14ac:dyDescent="0.35">
      <c r="L239" s="25"/>
    </row>
    <row r="240" spans="12:12" ht="12.75" x14ac:dyDescent="0.35">
      <c r="L240" s="25"/>
    </row>
    <row r="241" spans="12:12" ht="12.75" x14ac:dyDescent="0.35">
      <c r="L241" s="25"/>
    </row>
    <row r="242" spans="12:12" ht="12.75" x14ac:dyDescent="0.35">
      <c r="L242" s="25"/>
    </row>
    <row r="243" spans="12:12" ht="12.75" x14ac:dyDescent="0.35">
      <c r="L243" s="25"/>
    </row>
    <row r="244" spans="12:12" ht="12.75" x14ac:dyDescent="0.35">
      <c r="L244" s="25"/>
    </row>
    <row r="245" spans="12:12" ht="12.75" x14ac:dyDescent="0.35">
      <c r="L245" s="25"/>
    </row>
    <row r="246" spans="12:12" ht="12.75" x14ac:dyDescent="0.35">
      <c r="L246" s="25"/>
    </row>
    <row r="247" spans="12:12" ht="12.75" x14ac:dyDescent="0.35">
      <c r="L247" s="25"/>
    </row>
    <row r="248" spans="12:12" ht="12.75" x14ac:dyDescent="0.35">
      <c r="L248" s="25"/>
    </row>
    <row r="249" spans="12:12" ht="12.75" x14ac:dyDescent="0.35">
      <c r="L249" s="25"/>
    </row>
    <row r="250" spans="12:12" ht="12.75" x14ac:dyDescent="0.35">
      <c r="L250" s="25"/>
    </row>
    <row r="251" spans="12:12" ht="12.75" x14ac:dyDescent="0.35">
      <c r="L251" s="25"/>
    </row>
    <row r="252" spans="12:12" ht="12.75" x14ac:dyDescent="0.35">
      <c r="L252" s="25"/>
    </row>
    <row r="253" spans="12:12" ht="12.75" x14ac:dyDescent="0.35">
      <c r="L253" s="25"/>
    </row>
    <row r="254" spans="12:12" ht="12.75" x14ac:dyDescent="0.35">
      <c r="L254" s="25"/>
    </row>
    <row r="255" spans="12:12" ht="12.75" x14ac:dyDescent="0.35">
      <c r="L255" s="25"/>
    </row>
    <row r="256" spans="12:12" ht="12.75" x14ac:dyDescent="0.35">
      <c r="L256" s="25"/>
    </row>
    <row r="257" spans="12:12" ht="12.75" x14ac:dyDescent="0.35">
      <c r="L257" s="25"/>
    </row>
    <row r="258" spans="12:12" ht="12.75" x14ac:dyDescent="0.35">
      <c r="L258" s="25"/>
    </row>
    <row r="259" spans="12:12" ht="12.75" x14ac:dyDescent="0.35">
      <c r="L259" s="25"/>
    </row>
    <row r="260" spans="12:12" ht="12.75" x14ac:dyDescent="0.35">
      <c r="L260" s="25"/>
    </row>
    <row r="261" spans="12:12" ht="12.75" x14ac:dyDescent="0.35">
      <c r="L261" s="25"/>
    </row>
    <row r="262" spans="12:12" ht="12.75" x14ac:dyDescent="0.35">
      <c r="L262" s="25"/>
    </row>
    <row r="263" spans="12:12" ht="12.75" x14ac:dyDescent="0.35">
      <c r="L263" s="25"/>
    </row>
    <row r="264" spans="12:12" ht="12.75" x14ac:dyDescent="0.35">
      <c r="L264" s="25"/>
    </row>
    <row r="265" spans="12:12" ht="12.75" x14ac:dyDescent="0.35">
      <c r="L265" s="25"/>
    </row>
    <row r="266" spans="12:12" ht="12.75" x14ac:dyDescent="0.35">
      <c r="L266" s="25"/>
    </row>
    <row r="267" spans="12:12" ht="12.75" x14ac:dyDescent="0.35">
      <c r="L267" s="25"/>
    </row>
    <row r="268" spans="12:12" ht="12.75" x14ac:dyDescent="0.35">
      <c r="L268" s="25"/>
    </row>
    <row r="269" spans="12:12" ht="12.75" x14ac:dyDescent="0.35">
      <c r="L269" s="25"/>
    </row>
    <row r="270" spans="12:12" ht="12.75" x14ac:dyDescent="0.35">
      <c r="L270" s="25"/>
    </row>
    <row r="271" spans="12:12" ht="12.75" x14ac:dyDescent="0.35">
      <c r="L271" s="25"/>
    </row>
    <row r="272" spans="12:12" ht="12.75" x14ac:dyDescent="0.35">
      <c r="L272" s="25"/>
    </row>
    <row r="273" spans="12:12" ht="12.75" x14ac:dyDescent="0.35">
      <c r="L273" s="25"/>
    </row>
    <row r="274" spans="12:12" ht="12.75" x14ac:dyDescent="0.35">
      <c r="L274" s="25"/>
    </row>
    <row r="275" spans="12:12" ht="12.75" x14ac:dyDescent="0.35">
      <c r="L275" s="25"/>
    </row>
    <row r="276" spans="12:12" ht="12.75" x14ac:dyDescent="0.35">
      <c r="L276" s="25"/>
    </row>
    <row r="277" spans="12:12" ht="12.75" x14ac:dyDescent="0.35">
      <c r="L277" s="25"/>
    </row>
    <row r="278" spans="12:12" ht="12.75" x14ac:dyDescent="0.35">
      <c r="L278" s="25"/>
    </row>
    <row r="279" spans="12:12" ht="12.75" x14ac:dyDescent="0.35">
      <c r="L279" s="25"/>
    </row>
    <row r="280" spans="12:12" ht="12.75" x14ac:dyDescent="0.35">
      <c r="L280" s="25"/>
    </row>
    <row r="281" spans="12:12" ht="12.75" x14ac:dyDescent="0.35">
      <c r="L281" s="25"/>
    </row>
    <row r="282" spans="12:12" ht="12.75" x14ac:dyDescent="0.35">
      <c r="L282" s="25"/>
    </row>
    <row r="283" spans="12:12" ht="12.75" x14ac:dyDescent="0.35">
      <c r="L283" s="25"/>
    </row>
    <row r="284" spans="12:12" ht="12.75" x14ac:dyDescent="0.35">
      <c r="L284" s="25"/>
    </row>
    <row r="285" spans="12:12" ht="12.75" x14ac:dyDescent="0.35">
      <c r="L285" s="25"/>
    </row>
    <row r="286" spans="12:12" ht="12.75" x14ac:dyDescent="0.35">
      <c r="L286" s="25"/>
    </row>
    <row r="287" spans="12:12" ht="12.75" x14ac:dyDescent="0.35">
      <c r="L287" s="25"/>
    </row>
    <row r="288" spans="12:12" ht="12.75" x14ac:dyDescent="0.35">
      <c r="L288" s="25"/>
    </row>
    <row r="289" spans="12:12" ht="12.75" x14ac:dyDescent="0.35">
      <c r="L289" s="25"/>
    </row>
    <row r="290" spans="12:12" ht="12.75" x14ac:dyDescent="0.35">
      <c r="L290" s="25"/>
    </row>
    <row r="291" spans="12:12" ht="12.75" x14ac:dyDescent="0.35">
      <c r="L291" s="25"/>
    </row>
    <row r="292" spans="12:12" ht="12.75" x14ac:dyDescent="0.35">
      <c r="L292" s="25"/>
    </row>
    <row r="293" spans="12:12" ht="12.75" x14ac:dyDescent="0.35">
      <c r="L293" s="25"/>
    </row>
    <row r="294" spans="12:12" ht="12.75" x14ac:dyDescent="0.35">
      <c r="L294" s="25"/>
    </row>
    <row r="295" spans="12:12" ht="12.75" x14ac:dyDescent="0.35">
      <c r="L295" s="25"/>
    </row>
    <row r="296" spans="12:12" ht="12.75" x14ac:dyDescent="0.35">
      <c r="L296" s="25"/>
    </row>
    <row r="297" spans="12:12" ht="12.75" x14ac:dyDescent="0.35">
      <c r="L297" s="25"/>
    </row>
    <row r="298" spans="12:12" ht="12.75" x14ac:dyDescent="0.35">
      <c r="L298" s="25"/>
    </row>
    <row r="299" spans="12:12" ht="12.75" x14ac:dyDescent="0.35">
      <c r="L299" s="25"/>
    </row>
    <row r="300" spans="12:12" ht="12.75" x14ac:dyDescent="0.35">
      <c r="L300" s="25"/>
    </row>
    <row r="301" spans="12:12" ht="12.75" x14ac:dyDescent="0.35">
      <c r="L301" s="25"/>
    </row>
    <row r="302" spans="12:12" ht="12.75" x14ac:dyDescent="0.35">
      <c r="L302" s="25"/>
    </row>
    <row r="303" spans="12:12" ht="12.75" x14ac:dyDescent="0.35">
      <c r="L303" s="25"/>
    </row>
    <row r="304" spans="12:12" ht="12.75" x14ac:dyDescent="0.35">
      <c r="L304" s="25"/>
    </row>
    <row r="305" spans="12:12" ht="12.75" x14ac:dyDescent="0.35">
      <c r="L305" s="25"/>
    </row>
    <row r="306" spans="12:12" ht="12.75" x14ac:dyDescent="0.35">
      <c r="L306" s="25"/>
    </row>
    <row r="307" spans="12:12" ht="12.75" x14ac:dyDescent="0.35">
      <c r="L307" s="25"/>
    </row>
    <row r="308" spans="12:12" ht="12.75" x14ac:dyDescent="0.35">
      <c r="L308" s="25"/>
    </row>
    <row r="309" spans="12:12" ht="12.75" x14ac:dyDescent="0.35">
      <c r="L309" s="25"/>
    </row>
    <row r="310" spans="12:12" ht="12.75" x14ac:dyDescent="0.35">
      <c r="L310" s="25"/>
    </row>
    <row r="311" spans="12:12" ht="12.75" x14ac:dyDescent="0.35">
      <c r="L311" s="25"/>
    </row>
    <row r="312" spans="12:12" ht="12.75" x14ac:dyDescent="0.35">
      <c r="L312" s="25"/>
    </row>
    <row r="313" spans="12:12" ht="12.75" x14ac:dyDescent="0.35">
      <c r="L313" s="25"/>
    </row>
    <row r="314" spans="12:12" ht="12.75" x14ac:dyDescent="0.35">
      <c r="L314" s="25"/>
    </row>
    <row r="315" spans="12:12" ht="12.75" x14ac:dyDescent="0.35">
      <c r="L315" s="25"/>
    </row>
    <row r="316" spans="12:12" ht="12.75" x14ac:dyDescent="0.35">
      <c r="L316" s="25"/>
    </row>
    <row r="317" spans="12:12" ht="12.75" x14ac:dyDescent="0.35">
      <c r="L317" s="25"/>
    </row>
    <row r="318" spans="12:12" ht="12.75" x14ac:dyDescent="0.35">
      <c r="L318" s="25"/>
    </row>
    <row r="319" spans="12:12" ht="12.75" x14ac:dyDescent="0.35">
      <c r="L319" s="25"/>
    </row>
    <row r="320" spans="12:12" ht="12.75" x14ac:dyDescent="0.35">
      <c r="L320" s="25"/>
    </row>
    <row r="321" spans="12:12" ht="12.75" x14ac:dyDescent="0.35">
      <c r="L321" s="25"/>
    </row>
    <row r="322" spans="12:12" ht="12.75" x14ac:dyDescent="0.35">
      <c r="L322" s="25"/>
    </row>
    <row r="323" spans="12:12" ht="12.75" x14ac:dyDescent="0.35">
      <c r="L323" s="25"/>
    </row>
    <row r="324" spans="12:12" ht="12.75" x14ac:dyDescent="0.35">
      <c r="L324" s="25"/>
    </row>
    <row r="325" spans="12:12" ht="12.75" x14ac:dyDescent="0.35">
      <c r="L325" s="25"/>
    </row>
    <row r="326" spans="12:12" ht="12.75" x14ac:dyDescent="0.35">
      <c r="L326" s="25"/>
    </row>
    <row r="327" spans="12:12" ht="12.75" x14ac:dyDescent="0.35">
      <c r="L327" s="25"/>
    </row>
    <row r="328" spans="12:12" ht="12.75" x14ac:dyDescent="0.35">
      <c r="L328" s="25"/>
    </row>
    <row r="329" spans="12:12" ht="12.75" x14ac:dyDescent="0.35">
      <c r="L329" s="25"/>
    </row>
    <row r="330" spans="12:12" ht="12.75" x14ac:dyDescent="0.35">
      <c r="L330" s="25"/>
    </row>
    <row r="331" spans="12:12" ht="12.75" x14ac:dyDescent="0.35">
      <c r="L331" s="25"/>
    </row>
    <row r="332" spans="12:12" ht="12.75" x14ac:dyDescent="0.35">
      <c r="L332" s="25"/>
    </row>
    <row r="333" spans="12:12" ht="12.75" x14ac:dyDescent="0.35">
      <c r="L333" s="25"/>
    </row>
    <row r="334" spans="12:12" ht="12.75" x14ac:dyDescent="0.35">
      <c r="L334" s="25"/>
    </row>
    <row r="335" spans="12:12" ht="12.75" x14ac:dyDescent="0.35">
      <c r="L335" s="25"/>
    </row>
    <row r="336" spans="12:12" ht="12.75" x14ac:dyDescent="0.35">
      <c r="L336" s="25"/>
    </row>
    <row r="337" spans="12:12" ht="12.75" x14ac:dyDescent="0.35">
      <c r="L337" s="25"/>
    </row>
    <row r="338" spans="12:12" ht="12.75" x14ac:dyDescent="0.35">
      <c r="L338" s="25"/>
    </row>
    <row r="339" spans="12:12" ht="12.75" x14ac:dyDescent="0.35">
      <c r="L339" s="25"/>
    </row>
    <row r="340" spans="12:12" ht="12.75" x14ac:dyDescent="0.35">
      <c r="L340" s="25"/>
    </row>
    <row r="341" spans="12:12" ht="12.75" x14ac:dyDescent="0.35">
      <c r="L341" s="25"/>
    </row>
    <row r="342" spans="12:12" ht="12.75" x14ac:dyDescent="0.35">
      <c r="L342" s="25"/>
    </row>
    <row r="343" spans="12:12" ht="12.75" x14ac:dyDescent="0.35">
      <c r="L343" s="25"/>
    </row>
    <row r="344" spans="12:12" ht="12.75" x14ac:dyDescent="0.35">
      <c r="L344" s="25"/>
    </row>
    <row r="345" spans="12:12" ht="12.75" x14ac:dyDescent="0.35">
      <c r="L345" s="25"/>
    </row>
    <row r="346" spans="12:12" ht="12.75" x14ac:dyDescent="0.35">
      <c r="L346" s="25"/>
    </row>
    <row r="347" spans="12:12" ht="12.75" x14ac:dyDescent="0.35">
      <c r="L347" s="25"/>
    </row>
    <row r="348" spans="12:12" ht="12.75" x14ac:dyDescent="0.35">
      <c r="L348" s="25"/>
    </row>
    <row r="349" spans="12:12" ht="12.75" x14ac:dyDescent="0.35">
      <c r="L349" s="25"/>
    </row>
    <row r="350" spans="12:12" ht="12.75" x14ac:dyDescent="0.35">
      <c r="L350" s="25"/>
    </row>
    <row r="351" spans="12:12" ht="12.75" x14ac:dyDescent="0.35">
      <c r="L351" s="25"/>
    </row>
    <row r="352" spans="12:12" ht="12.75" x14ac:dyDescent="0.35">
      <c r="L352" s="25"/>
    </row>
    <row r="353" spans="12:12" ht="12.75" x14ac:dyDescent="0.35">
      <c r="L353" s="25"/>
    </row>
    <row r="354" spans="12:12" ht="12.75" x14ac:dyDescent="0.35">
      <c r="L354" s="25"/>
    </row>
    <row r="355" spans="12:12" ht="12.75" x14ac:dyDescent="0.35">
      <c r="L355" s="25"/>
    </row>
    <row r="356" spans="12:12" ht="12.75" x14ac:dyDescent="0.35">
      <c r="L356" s="25"/>
    </row>
    <row r="357" spans="12:12" ht="12.75" x14ac:dyDescent="0.35">
      <c r="L357" s="25"/>
    </row>
    <row r="358" spans="12:12" ht="12.75" x14ac:dyDescent="0.35">
      <c r="L358" s="25"/>
    </row>
    <row r="359" spans="12:12" ht="12.75" x14ac:dyDescent="0.35">
      <c r="L359" s="25"/>
    </row>
    <row r="360" spans="12:12" ht="12.75" x14ac:dyDescent="0.35">
      <c r="L360" s="25"/>
    </row>
    <row r="361" spans="12:12" ht="12.75" x14ac:dyDescent="0.35">
      <c r="L361" s="25"/>
    </row>
    <row r="362" spans="12:12" ht="12.75" x14ac:dyDescent="0.35">
      <c r="L362" s="25"/>
    </row>
    <row r="363" spans="12:12" ht="12.75" x14ac:dyDescent="0.35">
      <c r="L363" s="25"/>
    </row>
    <row r="364" spans="12:12" ht="12.75" x14ac:dyDescent="0.35">
      <c r="L364" s="25"/>
    </row>
    <row r="365" spans="12:12" ht="12.75" x14ac:dyDescent="0.35">
      <c r="L365" s="25"/>
    </row>
    <row r="366" spans="12:12" ht="12.75" x14ac:dyDescent="0.35">
      <c r="L366" s="25"/>
    </row>
    <row r="367" spans="12:12" ht="12.75" x14ac:dyDescent="0.35">
      <c r="L367" s="25"/>
    </row>
    <row r="368" spans="12:12" ht="12.75" x14ac:dyDescent="0.35">
      <c r="L368" s="25"/>
    </row>
    <row r="369" spans="12:12" ht="12.75" x14ac:dyDescent="0.35">
      <c r="L369" s="25"/>
    </row>
    <row r="370" spans="12:12" ht="12.75" x14ac:dyDescent="0.35">
      <c r="L370" s="25"/>
    </row>
    <row r="371" spans="12:12" ht="12.75" x14ac:dyDescent="0.35">
      <c r="L371" s="25"/>
    </row>
    <row r="372" spans="12:12" ht="12.75" x14ac:dyDescent="0.35">
      <c r="L372" s="25"/>
    </row>
    <row r="373" spans="12:12" ht="12.75" x14ac:dyDescent="0.35">
      <c r="L373" s="25"/>
    </row>
    <row r="374" spans="12:12" ht="12.75" x14ac:dyDescent="0.35">
      <c r="L374" s="25"/>
    </row>
    <row r="375" spans="12:12" ht="12.75" x14ac:dyDescent="0.35">
      <c r="L375" s="25"/>
    </row>
    <row r="376" spans="12:12" ht="12.75" x14ac:dyDescent="0.35">
      <c r="L376" s="25"/>
    </row>
    <row r="377" spans="12:12" ht="12.75" x14ac:dyDescent="0.35">
      <c r="L377" s="25"/>
    </row>
    <row r="378" spans="12:12" ht="12.75" x14ac:dyDescent="0.35">
      <c r="L378" s="25"/>
    </row>
    <row r="379" spans="12:12" ht="12.75" x14ac:dyDescent="0.35">
      <c r="L379" s="25"/>
    </row>
    <row r="380" spans="12:12" ht="12.75" x14ac:dyDescent="0.35">
      <c r="L380" s="25"/>
    </row>
    <row r="381" spans="12:12" ht="12.75" x14ac:dyDescent="0.35">
      <c r="L381" s="25"/>
    </row>
    <row r="382" spans="12:12" ht="12.75" x14ac:dyDescent="0.35">
      <c r="L382" s="25"/>
    </row>
    <row r="383" spans="12:12" ht="12.75" x14ac:dyDescent="0.35">
      <c r="L383" s="25"/>
    </row>
    <row r="384" spans="12:12" ht="12.75" x14ac:dyDescent="0.35">
      <c r="L384" s="25"/>
    </row>
    <row r="385" spans="12:12" ht="12.75" x14ac:dyDescent="0.35">
      <c r="L385" s="25"/>
    </row>
    <row r="386" spans="12:12" ht="12.75" x14ac:dyDescent="0.35">
      <c r="L386" s="25"/>
    </row>
    <row r="387" spans="12:12" ht="12.75" x14ac:dyDescent="0.35">
      <c r="L387" s="25"/>
    </row>
    <row r="388" spans="12:12" ht="12.75" x14ac:dyDescent="0.35">
      <c r="L388" s="25"/>
    </row>
    <row r="389" spans="12:12" ht="12.75" x14ac:dyDescent="0.35">
      <c r="L389" s="25"/>
    </row>
    <row r="390" spans="12:12" ht="12.75" x14ac:dyDescent="0.35">
      <c r="L390" s="25"/>
    </row>
    <row r="391" spans="12:12" ht="12.75" x14ac:dyDescent="0.35">
      <c r="L391" s="25"/>
    </row>
    <row r="392" spans="12:12" ht="12.75" x14ac:dyDescent="0.35">
      <c r="L392" s="25"/>
    </row>
    <row r="393" spans="12:12" ht="12.75" x14ac:dyDescent="0.35">
      <c r="L393" s="25"/>
    </row>
    <row r="394" spans="12:12" ht="12.75" x14ac:dyDescent="0.35">
      <c r="L394" s="25"/>
    </row>
    <row r="395" spans="12:12" ht="12.75" x14ac:dyDescent="0.35">
      <c r="L395" s="25"/>
    </row>
    <row r="396" spans="12:12" ht="12.75" x14ac:dyDescent="0.35">
      <c r="L396" s="25"/>
    </row>
    <row r="397" spans="12:12" ht="12.75" x14ac:dyDescent="0.35">
      <c r="L397" s="25"/>
    </row>
    <row r="398" spans="12:12" ht="12.75" x14ac:dyDescent="0.35">
      <c r="L398" s="25"/>
    </row>
    <row r="399" spans="12:12" ht="12.75" x14ac:dyDescent="0.35">
      <c r="L399" s="25"/>
    </row>
    <row r="400" spans="12:12" ht="12.75" x14ac:dyDescent="0.35">
      <c r="L400" s="25"/>
    </row>
    <row r="401" spans="12:12" ht="12.75" x14ac:dyDescent="0.35">
      <c r="L401" s="25"/>
    </row>
    <row r="402" spans="12:12" ht="12.75" x14ac:dyDescent="0.35">
      <c r="L402" s="25"/>
    </row>
    <row r="403" spans="12:12" ht="12.75" x14ac:dyDescent="0.35">
      <c r="L403" s="25"/>
    </row>
    <row r="404" spans="12:12" ht="12.75" x14ac:dyDescent="0.35">
      <c r="L404" s="25"/>
    </row>
    <row r="405" spans="12:12" ht="12.75" x14ac:dyDescent="0.35">
      <c r="L405" s="25"/>
    </row>
    <row r="406" spans="12:12" ht="12.75" x14ac:dyDescent="0.35">
      <c r="L406" s="25"/>
    </row>
    <row r="407" spans="12:12" ht="12.75" x14ac:dyDescent="0.35">
      <c r="L407" s="25"/>
    </row>
    <row r="408" spans="12:12" ht="12.75" x14ac:dyDescent="0.35">
      <c r="L408" s="25"/>
    </row>
    <row r="409" spans="12:12" ht="12.75" x14ac:dyDescent="0.35">
      <c r="L409" s="25"/>
    </row>
    <row r="410" spans="12:12" ht="12.75" x14ac:dyDescent="0.35">
      <c r="L410" s="25"/>
    </row>
    <row r="411" spans="12:12" ht="12.75" x14ac:dyDescent="0.35">
      <c r="L411" s="25"/>
    </row>
    <row r="412" spans="12:12" ht="12.75" x14ac:dyDescent="0.35">
      <c r="L412" s="25"/>
    </row>
    <row r="413" spans="12:12" ht="12.75" x14ac:dyDescent="0.35">
      <c r="L413" s="25"/>
    </row>
    <row r="414" spans="12:12" ht="12.75" x14ac:dyDescent="0.35">
      <c r="L414" s="25"/>
    </row>
    <row r="415" spans="12:12" ht="12.75" x14ac:dyDescent="0.35">
      <c r="L415" s="25"/>
    </row>
    <row r="416" spans="12:12" ht="12.75" x14ac:dyDescent="0.35">
      <c r="L416" s="25"/>
    </row>
    <row r="417" spans="12:12" ht="12.75" x14ac:dyDescent="0.35">
      <c r="L417" s="25"/>
    </row>
    <row r="418" spans="12:12" ht="12.75" x14ac:dyDescent="0.35">
      <c r="L418" s="25"/>
    </row>
    <row r="419" spans="12:12" ht="12.75" x14ac:dyDescent="0.35">
      <c r="L419" s="25"/>
    </row>
    <row r="420" spans="12:12" ht="12.75" x14ac:dyDescent="0.35">
      <c r="L420" s="25"/>
    </row>
    <row r="421" spans="12:12" ht="12.75" x14ac:dyDescent="0.35">
      <c r="L421" s="25"/>
    </row>
    <row r="422" spans="12:12" ht="12.75" x14ac:dyDescent="0.35">
      <c r="L422" s="25"/>
    </row>
    <row r="423" spans="12:12" ht="12.75" x14ac:dyDescent="0.35">
      <c r="L423" s="25"/>
    </row>
    <row r="424" spans="12:12" ht="12.75" x14ac:dyDescent="0.35">
      <c r="L424" s="25"/>
    </row>
    <row r="425" spans="12:12" ht="12.75" x14ac:dyDescent="0.35">
      <c r="L425" s="25"/>
    </row>
    <row r="426" spans="12:12" ht="12.75" x14ac:dyDescent="0.35">
      <c r="L426" s="25"/>
    </row>
    <row r="427" spans="12:12" ht="12.75" x14ac:dyDescent="0.35">
      <c r="L427" s="25"/>
    </row>
    <row r="428" spans="12:12" ht="12.75" x14ac:dyDescent="0.35">
      <c r="L428" s="25"/>
    </row>
    <row r="429" spans="12:12" ht="12.75" x14ac:dyDescent="0.35">
      <c r="L429" s="25"/>
    </row>
    <row r="430" spans="12:12" ht="12.75" x14ac:dyDescent="0.35">
      <c r="L430" s="25"/>
    </row>
    <row r="431" spans="12:12" ht="12.75" x14ac:dyDescent="0.35">
      <c r="L431" s="25"/>
    </row>
    <row r="432" spans="12:12" ht="12.75" x14ac:dyDescent="0.35">
      <c r="L432" s="25"/>
    </row>
    <row r="433" spans="12:12" ht="12.75" x14ac:dyDescent="0.35">
      <c r="L433" s="25"/>
    </row>
    <row r="434" spans="12:12" ht="12.75" x14ac:dyDescent="0.35">
      <c r="L434" s="25"/>
    </row>
    <row r="435" spans="12:12" ht="12.75" x14ac:dyDescent="0.35">
      <c r="L435" s="25"/>
    </row>
    <row r="436" spans="12:12" ht="12.75" x14ac:dyDescent="0.35">
      <c r="L436" s="25"/>
    </row>
    <row r="437" spans="12:12" ht="12.75" x14ac:dyDescent="0.35">
      <c r="L437" s="25"/>
    </row>
    <row r="438" spans="12:12" ht="12.75" x14ac:dyDescent="0.35">
      <c r="L438" s="25"/>
    </row>
    <row r="439" spans="12:12" ht="12.75" x14ac:dyDescent="0.35">
      <c r="L439" s="25"/>
    </row>
    <row r="440" spans="12:12" ht="12.75" x14ac:dyDescent="0.35">
      <c r="L440" s="25"/>
    </row>
    <row r="441" spans="12:12" ht="12.75" x14ac:dyDescent="0.35">
      <c r="L441" s="25"/>
    </row>
    <row r="442" spans="12:12" ht="12.75" x14ac:dyDescent="0.35">
      <c r="L442" s="25"/>
    </row>
    <row r="443" spans="12:12" ht="12.75" x14ac:dyDescent="0.35">
      <c r="L443" s="25"/>
    </row>
    <row r="444" spans="12:12" ht="12.75" x14ac:dyDescent="0.35">
      <c r="L444" s="25"/>
    </row>
    <row r="445" spans="12:12" ht="12.75" x14ac:dyDescent="0.35">
      <c r="L445" s="25"/>
    </row>
    <row r="446" spans="12:12" ht="12.75" x14ac:dyDescent="0.35">
      <c r="L446" s="25"/>
    </row>
    <row r="447" spans="12:12" ht="12.75" x14ac:dyDescent="0.35">
      <c r="L447" s="25"/>
    </row>
    <row r="448" spans="12:12" ht="12.75" x14ac:dyDescent="0.35">
      <c r="L448" s="25"/>
    </row>
    <row r="449" spans="12:12" ht="12.75" x14ac:dyDescent="0.35">
      <c r="L449" s="25"/>
    </row>
    <row r="450" spans="12:12" ht="12.75" x14ac:dyDescent="0.35">
      <c r="L450" s="25"/>
    </row>
    <row r="451" spans="12:12" ht="12.75" x14ac:dyDescent="0.35">
      <c r="L451" s="25"/>
    </row>
    <row r="452" spans="12:12" ht="12.75" x14ac:dyDescent="0.35">
      <c r="L452" s="25"/>
    </row>
    <row r="453" spans="12:12" ht="12.75" x14ac:dyDescent="0.35">
      <c r="L453" s="25"/>
    </row>
    <row r="454" spans="12:12" ht="12.75" x14ac:dyDescent="0.35">
      <c r="L454" s="25"/>
    </row>
    <row r="455" spans="12:12" ht="12.75" x14ac:dyDescent="0.35">
      <c r="L455" s="25"/>
    </row>
    <row r="456" spans="12:12" ht="12.75" x14ac:dyDescent="0.35">
      <c r="L456" s="25"/>
    </row>
    <row r="457" spans="12:12" ht="12.75" x14ac:dyDescent="0.35">
      <c r="L457" s="25"/>
    </row>
    <row r="458" spans="12:12" ht="12.75" x14ac:dyDescent="0.35">
      <c r="L458" s="25"/>
    </row>
    <row r="459" spans="12:12" ht="12.75" x14ac:dyDescent="0.35">
      <c r="L459" s="25"/>
    </row>
    <row r="460" spans="12:12" ht="12.75" x14ac:dyDescent="0.35">
      <c r="L460" s="25"/>
    </row>
    <row r="461" spans="12:12" ht="12.75" x14ac:dyDescent="0.35">
      <c r="L461" s="25"/>
    </row>
    <row r="462" spans="12:12" ht="12.75" x14ac:dyDescent="0.35">
      <c r="L462" s="25"/>
    </row>
    <row r="463" spans="12:12" ht="12.75" x14ac:dyDescent="0.35">
      <c r="L463" s="25"/>
    </row>
    <row r="464" spans="12:12" ht="12.75" x14ac:dyDescent="0.35">
      <c r="L464" s="25"/>
    </row>
    <row r="465" spans="12:12" ht="12.75" x14ac:dyDescent="0.35">
      <c r="L465" s="25"/>
    </row>
    <row r="466" spans="12:12" ht="12.75" x14ac:dyDescent="0.35">
      <c r="L466" s="25"/>
    </row>
    <row r="467" spans="12:12" ht="12.75" x14ac:dyDescent="0.35">
      <c r="L467" s="25"/>
    </row>
    <row r="468" spans="12:12" ht="12.75" x14ac:dyDescent="0.35">
      <c r="L468" s="25"/>
    </row>
    <row r="469" spans="12:12" ht="12.75" x14ac:dyDescent="0.35">
      <c r="L469" s="25"/>
    </row>
    <row r="470" spans="12:12" ht="12.75" x14ac:dyDescent="0.35">
      <c r="L470" s="25"/>
    </row>
    <row r="471" spans="12:12" ht="12.75" x14ac:dyDescent="0.35">
      <c r="L471" s="25"/>
    </row>
    <row r="472" spans="12:12" ht="12.75" x14ac:dyDescent="0.35">
      <c r="L472" s="25"/>
    </row>
    <row r="473" spans="12:12" ht="12.75" x14ac:dyDescent="0.35">
      <c r="L473" s="25"/>
    </row>
    <row r="474" spans="12:12" ht="12.75" x14ac:dyDescent="0.35">
      <c r="L474" s="25"/>
    </row>
    <row r="475" spans="12:12" ht="12.75" x14ac:dyDescent="0.35">
      <c r="L475" s="25"/>
    </row>
    <row r="476" spans="12:12" ht="12.75" x14ac:dyDescent="0.35">
      <c r="L476" s="25"/>
    </row>
    <row r="477" spans="12:12" ht="12.75" x14ac:dyDescent="0.35">
      <c r="L477" s="25"/>
    </row>
    <row r="478" spans="12:12" ht="12.75" x14ac:dyDescent="0.35">
      <c r="L478" s="25"/>
    </row>
    <row r="479" spans="12:12" ht="12.75" x14ac:dyDescent="0.35">
      <c r="L479" s="25"/>
    </row>
    <row r="480" spans="12:12" ht="12.75" x14ac:dyDescent="0.35">
      <c r="L480" s="25"/>
    </row>
    <row r="481" spans="12:12" ht="12.75" x14ac:dyDescent="0.35">
      <c r="L481" s="25"/>
    </row>
    <row r="482" spans="12:12" ht="12.75" x14ac:dyDescent="0.35">
      <c r="L482" s="25"/>
    </row>
    <row r="483" spans="12:12" ht="12.75" x14ac:dyDescent="0.35">
      <c r="L483" s="25"/>
    </row>
    <row r="484" spans="12:12" ht="12.75" x14ac:dyDescent="0.35">
      <c r="L484" s="25"/>
    </row>
    <row r="485" spans="12:12" ht="12.75" x14ac:dyDescent="0.35">
      <c r="L485" s="25"/>
    </row>
    <row r="486" spans="12:12" ht="12.75" x14ac:dyDescent="0.35">
      <c r="L486" s="25"/>
    </row>
    <row r="487" spans="12:12" ht="12.75" x14ac:dyDescent="0.35">
      <c r="L487" s="25"/>
    </row>
    <row r="488" spans="12:12" ht="12.75" x14ac:dyDescent="0.35">
      <c r="L488" s="25"/>
    </row>
    <row r="489" spans="12:12" ht="12.75" x14ac:dyDescent="0.35">
      <c r="L489" s="25"/>
    </row>
    <row r="490" spans="12:12" ht="12.75" x14ac:dyDescent="0.35">
      <c r="L490" s="25"/>
    </row>
    <row r="491" spans="12:12" ht="12.75" x14ac:dyDescent="0.35">
      <c r="L491" s="25"/>
    </row>
    <row r="492" spans="12:12" ht="12.75" x14ac:dyDescent="0.35">
      <c r="L492" s="25"/>
    </row>
    <row r="493" spans="12:12" ht="12.75" x14ac:dyDescent="0.35">
      <c r="L493" s="25"/>
    </row>
    <row r="494" spans="12:12" ht="12.75" x14ac:dyDescent="0.35">
      <c r="L494" s="25"/>
    </row>
    <row r="495" spans="12:12" ht="12.75" x14ac:dyDescent="0.35">
      <c r="L495" s="25"/>
    </row>
    <row r="496" spans="12:12" ht="12.75" x14ac:dyDescent="0.35">
      <c r="L496" s="25"/>
    </row>
    <row r="497" spans="12:12" ht="12.75" x14ac:dyDescent="0.35">
      <c r="L497" s="25"/>
    </row>
    <row r="498" spans="12:12" ht="12.75" x14ac:dyDescent="0.35">
      <c r="L498" s="25"/>
    </row>
    <row r="499" spans="12:12" ht="12.75" x14ac:dyDescent="0.35">
      <c r="L499" s="25"/>
    </row>
    <row r="500" spans="12:12" ht="12.75" x14ac:dyDescent="0.35">
      <c r="L500" s="25"/>
    </row>
    <row r="501" spans="12:12" ht="12.75" x14ac:dyDescent="0.35">
      <c r="L501" s="25"/>
    </row>
    <row r="502" spans="12:12" ht="12.75" x14ac:dyDescent="0.35">
      <c r="L502" s="25"/>
    </row>
    <row r="503" spans="12:12" ht="12.75" x14ac:dyDescent="0.35">
      <c r="L503" s="25"/>
    </row>
    <row r="504" spans="12:12" ht="12.75" x14ac:dyDescent="0.35">
      <c r="L504" s="25"/>
    </row>
    <row r="505" spans="12:12" ht="12.75" x14ac:dyDescent="0.35">
      <c r="L505" s="25"/>
    </row>
    <row r="506" spans="12:12" ht="12.75" x14ac:dyDescent="0.35">
      <c r="L506" s="25"/>
    </row>
    <row r="507" spans="12:12" ht="12.75" x14ac:dyDescent="0.35">
      <c r="L507" s="25"/>
    </row>
    <row r="508" spans="12:12" ht="12.75" x14ac:dyDescent="0.35">
      <c r="L508" s="25"/>
    </row>
    <row r="509" spans="12:12" ht="12.75" x14ac:dyDescent="0.35">
      <c r="L509" s="25"/>
    </row>
    <row r="510" spans="12:12" ht="12.75" x14ac:dyDescent="0.35">
      <c r="L510" s="25"/>
    </row>
    <row r="511" spans="12:12" ht="12.75" x14ac:dyDescent="0.35">
      <c r="L511" s="25"/>
    </row>
    <row r="512" spans="12:12" ht="12.75" x14ac:dyDescent="0.35">
      <c r="L512" s="25"/>
    </row>
    <row r="513" spans="12:12" ht="12.75" x14ac:dyDescent="0.35">
      <c r="L513" s="25"/>
    </row>
    <row r="514" spans="12:12" ht="12.75" x14ac:dyDescent="0.35">
      <c r="L514" s="25"/>
    </row>
    <row r="515" spans="12:12" ht="12.75" x14ac:dyDescent="0.35">
      <c r="L515" s="25"/>
    </row>
    <row r="516" spans="12:12" ht="12.75" x14ac:dyDescent="0.35">
      <c r="L516" s="25"/>
    </row>
    <row r="517" spans="12:12" ht="12.75" x14ac:dyDescent="0.35">
      <c r="L517" s="25"/>
    </row>
    <row r="518" spans="12:12" ht="12.75" x14ac:dyDescent="0.35">
      <c r="L518" s="25"/>
    </row>
    <row r="519" spans="12:12" ht="12.75" x14ac:dyDescent="0.35">
      <c r="L519" s="25"/>
    </row>
    <row r="520" spans="12:12" ht="12.75" x14ac:dyDescent="0.35">
      <c r="L520" s="25"/>
    </row>
    <row r="521" spans="12:12" ht="12.75" x14ac:dyDescent="0.35">
      <c r="L521" s="25"/>
    </row>
    <row r="522" spans="12:12" ht="12.75" x14ac:dyDescent="0.35">
      <c r="L522" s="25"/>
    </row>
    <row r="523" spans="12:12" ht="12.75" x14ac:dyDescent="0.35">
      <c r="L523" s="25"/>
    </row>
    <row r="524" spans="12:12" ht="12.75" x14ac:dyDescent="0.35">
      <c r="L524" s="25"/>
    </row>
    <row r="525" spans="12:12" ht="12.75" x14ac:dyDescent="0.35">
      <c r="L525" s="25"/>
    </row>
    <row r="526" spans="12:12" ht="12.75" x14ac:dyDescent="0.35">
      <c r="L526" s="25"/>
    </row>
    <row r="527" spans="12:12" ht="12.75" x14ac:dyDescent="0.35">
      <c r="L527" s="25"/>
    </row>
    <row r="528" spans="12:12" ht="12.75" x14ac:dyDescent="0.35">
      <c r="L528" s="25"/>
    </row>
    <row r="529" spans="12:12" ht="12.75" x14ac:dyDescent="0.35">
      <c r="L529" s="25"/>
    </row>
    <row r="530" spans="12:12" ht="12.75" x14ac:dyDescent="0.35">
      <c r="L530" s="25"/>
    </row>
    <row r="531" spans="12:12" ht="12.75" x14ac:dyDescent="0.35">
      <c r="L531" s="25"/>
    </row>
    <row r="532" spans="12:12" ht="12.75" x14ac:dyDescent="0.35">
      <c r="L532" s="25"/>
    </row>
    <row r="533" spans="12:12" ht="12.75" x14ac:dyDescent="0.35">
      <c r="L533" s="25"/>
    </row>
    <row r="534" spans="12:12" ht="12.75" x14ac:dyDescent="0.35">
      <c r="L534" s="25"/>
    </row>
    <row r="535" spans="12:12" ht="12.75" x14ac:dyDescent="0.35">
      <c r="L535" s="25"/>
    </row>
    <row r="536" spans="12:12" ht="12.75" x14ac:dyDescent="0.35">
      <c r="L536" s="25"/>
    </row>
    <row r="537" spans="12:12" ht="12.75" x14ac:dyDescent="0.35">
      <c r="L537" s="25"/>
    </row>
    <row r="538" spans="12:12" ht="12.75" x14ac:dyDescent="0.35">
      <c r="L538" s="25"/>
    </row>
    <row r="539" spans="12:12" ht="12.75" x14ac:dyDescent="0.35">
      <c r="L539" s="25"/>
    </row>
    <row r="540" spans="12:12" ht="12.75" x14ac:dyDescent="0.35">
      <c r="L540" s="25"/>
    </row>
    <row r="541" spans="12:12" ht="12.75" x14ac:dyDescent="0.35">
      <c r="L541" s="25"/>
    </row>
    <row r="542" spans="12:12" ht="12.75" x14ac:dyDescent="0.35">
      <c r="L542" s="25"/>
    </row>
    <row r="543" spans="12:12" ht="12.75" x14ac:dyDescent="0.35">
      <c r="L543" s="25"/>
    </row>
    <row r="544" spans="12:12" ht="12.75" x14ac:dyDescent="0.35">
      <c r="L544" s="25"/>
    </row>
    <row r="545" spans="12:12" ht="12.75" x14ac:dyDescent="0.35">
      <c r="L545" s="25"/>
    </row>
    <row r="546" spans="12:12" ht="12.75" x14ac:dyDescent="0.35">
      <c r="L546" s="25"/>
    </row>
    <row r="547" spans="12:12" ht="12.75" x14ac:dyDescent="0.35">
      <c r="L547" s="25"/>
    </row>
    <row r="548" spans="12:12" ht="12.75" x14ac:dyDescent="0.35">
      <c r="L548" s="25"/>
    </row>
    <row r="549" spans="12:12" ht="12.75" x14ac:dyDescent="0.35">
      <c r="L549" s="25"/>
    </row>
    <row r="550" spans="12:12" ht="12.75" x14ac:dyDescent="0.35">
      <c r="L550" s="25"/>
    </row>
    <row r="551" spans="12:12" ht="12.75" x14ac:dyDescent="0.35">
      <c r="L551" s="25"/>
    </row>
    <row r="552" spans="12:12" ht="12.75" x14ac:dyDescent="0.35">
      <c r="L552" s="25"/>
    </row>
    <row r="553" spans="12:12" ht="12.75" x14ac:dyDescent="0.35">
      <c r="L553" s="25"/>
    </row>
    <row r="554" spans="12:12" ht="12.75" x14ac:dyDescent="0.35">
      <c r="L554" s="25"/>
    </row>
    <row r="555" spans="12:12" ht="12.75" x14ac:dyDescent="0.35">
      <c r="L555" s="25"/>
    </row>
    <row r="556" spans="12:12" ht="12.75" x14ac:dyDescent="0.35">
      <c r="L556" s="25"/>
    </row>
    <row r="557" spans="12:12" ht="12.75" x14ac:dyDescent="0.35">
      <c r="L557" s="25"/>
    </row>
    <row r="558" spans="12:12" ht="12.75" x14ac:dyDescent="0.35">
      <c r="L558" s="25"/>
    </row>
    <row r="559" spans="12:12" ht="12.75" x14ac:dyDescent="0.35">
      <c r="L559" s="25"/>
    </row>
    <row r="560" spans="12:12" ht="12.75" x14ac:dyDescent="0.35">
      <c r="L560" s="25"/>
    </row>
    <row r="561" spans="12:12" ht="12.75" x14ac:dyDescent="0.35">
      <c r="L561" s="25"/>
    </row>
    <row r="562" spans="12:12" ht="12.75" x14ac:dyDescent="0.35">
      <c r="L562" s="25"/>
    </row>
    <row r="563" spans="12:12" ht="12.75" x14ac:dyDescent="0.35">
      <c r="L563" s="25"/>
    </row>
    <row r="564" spans="12:12" ht="12.75" x14ac:dyDescent="0.35">
      <c r="L564" s="25"/>
    </row>
    <row r="565" spans="12:12" ht="12.75" x14ac:dyDescent="0.35">
      <c r="L565" s="25"/>
    </row>
    <row r="566" spans="12:12" ht="12.75" x14ac:dyDescent="0.35">
      <c r="L566" s="25"/>
    </row>
    <row r="567" spans="12:12" ht="12.75" x14ac:dyDescent="0.35">
      <c r="L567" s="25"/>
    </row>
    <row r="568" spans="12:12" ht="12.75" x14ac:dyDescent="0.35">
      <c r="L568" s="25"/>
    </row>
    <row r="569" spans="12:12" ht="12.75" x14ac:dyDescent="0.35">
      <c r="L569" s="25"/>
    </row>
    <row r="570" spans="12:12" ht="12.75" x14ac:dyDescent="0.35">
      <c r="L570" s="25"/>
    </row>
    <row r="571" spans="12:12" ht="12.75" x14ac:dyDescent="0.35">
      <c r="L571" s="25"/>
    </row>
    <row r="572" spans="12:12" ht="12.75" x14ac:dyDescent="0.35">
      <c r="L572" s="25"/>
    </row>
    <row r="573" spans="12:12" ht="12.75" x14ac:dyDescent="0.35">
      <c r="L573" s="25"/>
    </row>
    <row r="574" spans="12:12" ht="12.75" x14ac:dyDescent="0.35">
      <c r="L574" s="25"/>
    </row>
    <row r="575" spans="12:12" ht="12.75" x14ac:dyDescent="0.35">
      <c r="L575" s="25"/>
    </row>
    <row r="576" spans="12:12" ht="12.75" x14ac:dyDescent="0.35">
      <c r="L576" s="25"/>
    </row>
    <row r="577" spans="12:12" ht="12.75" x14ac:dyDescent="0.35">
      <c r="L577" s="25"/>
    </row>
    <row r="578" spans="12:12" ht="12.75" x14ac:dyDescent="0.35">
      <c r="L578" s="25"/>
    </row>
    <row r="579" spans="12:12" ht="12.75" x14ac:dyDescent="0.35">
      <c r="L579" s="25"/>
    </row>
    <row r="580" spans="12:12" ht="12.75" x14ac:dyDescent="0.35">
      <c r="L580" s="25"/>
    </row>
    <row r="581" spans="12:12" ht="12.75" x14ac:dyDescent="0.35">
      <c r="L581" s="25"/>
    </row>
    <row r="582" spans="12:12" ht="12.75" x14ac:dyDescent="0.35">
      <c r="L582" s="25"/>
    </row>
    <row r="583" spans="12:12" ht="12.75" x14ac:dyDescent="0.35">
      <c r="L583" s="25"/>
    </row>
    <row r="584" spans="12:12" ht="12.75" x14ac:dyDescent="0.35">
      <c r="L584" s="25"/>
    </row>
    <row r="585" spans="12:12" ht="12.75" x14ac:dyDescent="0.35">
      <c r="L585" s="25"/>
    </row>
    <row r="586" spans="12:12" ht="12.75" x14ac:dyDescent="0.35">
      <c r="L586" s="25"/>
    </row>
    <row r="587" spans="12:12" ht="12.75" x14ac:dyDescent="0.35">
      <c r="L587" s="25"/>
    </row>
    <row r="588" spans="12:12" ht="12.75" x14ac:dyDescent="0.35">
      <c r="L588" s="25"/>
    </row>
    <row r="589" spans="12:12" ht="12.75" x14ac:dyDescent="0.35">
      <c r="L589" s="25"/>
    </row>
    <row r="590" spans="12:12" ht="12.75" x14ac:dyDescent="0.35">
      <c r="L590" s="25"/>
    </row>
    <row r="591" spans="12:12" ht="12.75" x14ac:dyDescent="0.35">
      <c r="L591" s="25"/>
    </row>
    <row r="592" spans="12:12" ht="12.75" x14ac:dyDescent="0.35">
      <c r="L592" s="25"/>
    </row>
    <row r="593" spans="12:12" ht="12.75" x14ac:dyDescent="0.35">
      <c r="L593" s="25"/>
    </row>
    <row r="594" spans="12:12" ht="12.75" x14ac:dyDescent="0.35">
      <c r="L594" s="25"/>
    </row>
    <row r="595" spans="12:12" ht="12.75" x14ac:dyDescent="0.35">
      <c r="L595" s="25"/>
    </row>
    <row r="596" spans="12:12" ht="12.75" x14ac:dyDescent="0.35">
      <c r="L596" s="25"/>
    </row>
    <row r="597" spans="12:12" ht="12.75" x14ac:dyDescent="0.35">
      <c r="L597" s="25"/>
    </row>
    <row r="598" spans="12:12" ht="12.75" x14ac:dyDescent="0.35">
      <c r="L598" s="25"/>
    </row>
    <row r="599" spans="12:12" ht="12.75" x14ac:dyDescent="0.35">
      <c r="L599" s="25"/>
    </row>
    <row r="600" spans="12:12" ht="12.75" x14ac:dyDescent="0.35">
      <c r="L600" s="25"/>
    </row>
    <row r="601" spans="12:12" ht="12.75" x14ac:dyDescent="0.35">
      <c r="L601" s="25"/>
    </row>
    <row r="602" spans="12:12" ht="12.75" x14ac:dyDescent="0.35">
      <c r="L602" s="25"/>
    </row>
    <row r="603" spans="12:12" ht="12.75" x14ac:dyDescent="0.35">
      <c r="L603" s="25"/>
    </row>
    <row r="604" spans="12:12" ht="12.75" x14ac:dyDescent="0.35">
      <c r="L604" s="25"/>
    </row>
    <row r="605" spans="12:12" ht="12.75" x14ac:dyDescent="0.35">
      <c r="L605" s="25"/>
    </row>
    <row r="606" spans="12:12" ht="12.75" x14ac:dyDescent="0.35">
      <c r="L606" s="25"/>
    </row>
    <row r="607" spans="12:12" ht="12.75" x14ac:dyDescent="0.35">
      <c r="L607" s="25"/>
    </row>
    <row r="608" spans="12:12" ht="12.75" x14ac:dyDescent="0.35">
      <c r="L608" s="25"/>
    </row>
    <row r="609" spans="12:12" ht="12.75" x14ac:dyDescent="0.35">
      <c r="L609" s="25"/>
    </row>
    <row r="610" spans="12:12" ht="12.75" x14ac:dyDescent="0.35">
      <c r="L610" s="25"/>
    </row>
    <row r="611" spans="12:12" ht="12.75" x14ac:dyDescent="0.35">
      <c r="L611" s="25"/>
    </row>
    <row r="612" spans="12:12" ht="12.75" x14ac:dyDescent="0.35">
      <c r="L612" s="25"/>
    </row>
    <row r="613" spans="12:12" ht="12.75" x14ac:dyDescent="0.35">
      <c r="L613" s="25"/>
    </row>
    <row r="614" spans="12:12" ht="12.75" x14ac:dyDescent="0.35">
      <c r="L614" s="25"/>
    </row>
    <row r="615" spans="12:12" ht="12.75" x14ac:dyDescent="0.35">
      <c r="L615" s="25"/>
    </row>
    <row r="616" spans="12:12" ht="12.75" x14ac:dyDescent="0.35">
      <c r="L616" s="25"/>
    </row>
    <row r="617" spans="12:12" ht="12.75" x14ac:dyDescent="0.35">
      <c r="L617" s="25"/>
    </row>
    <row r="618" spans="12:12" ht="12.75" x14ac:dyDescent="0.35">
      <c r="L618" s="25"/>
    </row>
    <row r="619" spans="12:12" ht="12.75" x14ac:dyDescent="0.35">
      <c r="L619" s="25"/>
    </row>
    <row r="620" spans="12:12" ht="12.75" x14ac:dyDescent="0.35">
      <c r="L620" s="25"/>
    </row>
    <row r="621" spans="12:12" ht="12.75" x14ac:dyDescent="0.35">
      <c r="L621" s="25"/>
    </row>
    <row r="622" spans="12:12" ht="12.75" x14ac:dyDescent="0.35">
      <c r="L622" s="25"/>
    </row>
    <row r="623" spans="12:12" ht="12.75" x14ac:dyDescent="0.35">
      <c r="L623" s="25"/>
    </row>
    <row r="624" spans="12:12" ht="12.75" x14ac:dyDescent="0.35">
      <c r="L624" s="25"/>
    </row>
    <row r="625" spans="12:12" ht="12.75" x14ac:dyDescent="0.35">
      <c r="L625" s="25"/>
    </row>
    <row r="626" spans="12:12" ht="12.75" x14ac:dyDescent="0.35">
      <c r="L626" s="25"/>
    </row>
    <row r="627" spans="12:12" ht="12.75" x14ac:dyDescent="0.35">
      <c r="L627" s="25"/>
    </row>
    <row r="628" spans="12:12" ht="12.75" x14ac:dyDescent="0.35">
      <c r="L628" s="25"/>
    </row>
    <row r="629" spans="12:12" ht="12.75" x14ac:dyDescent="0.35">
      <c r="L629" s="25"/>
    </row>
    <row r="630" spans="12:12" ht="12.75" x14ac:dyDescent="0.35">
      <c r="L630" s="25"/>
    </row>
    <row r="631" spans="12:12" ht="12.75" x14ac:dyDescent="0.35">
      <c r="L631" s="25"/>
    </row>
    <row r="632" spans="12:12" ht="12.75" x14ac:dyDescent="0.35">
      <c r="L632" s="25"/>
    </row>
    <row r="633" spans="12:12" ht="12.75" x14ac:dyDescent="0.35">
      <c r="L633" s="25"/>
    </row>
    <row r="634" spans="12:12" ht="12.75" x14ac:dyDescent="0.35">
      <c r="L634" s="25"/>
    </row>
    <row r="635" spans="12:12" ht="12.75" x14ac:dyDescent="0.35">
      <c r="L635" s="25"/>
    </row>
    <row r="636" spans="12:12" ht="12.75" x14ac:dyDescent="0.35">
      <c r="L636" s="25"/>
    </row>
    <row r="637" spans="12:12" ht="12.75" x14ac:dyDescent="0.35">
      <c r="L637" s="25"/>
    </row>
    <row r="638" spans="12:12" ht="12.75" x14ac:dyDescent="0.35">
      <c r="L638" s="25"/>
    </row>
    <row r="639" spans="12:12" ht="12.75" x14ac:dyDescent="0.35">
      <c r="L639" s="25"/>
    </row>
    <row r="640" spans="12:12" ht="12.75" x14ac:dyDescent="0.35">
      <c r="L640" s="25"/>
    </row>
    <row r="641" spans="12:12" ht="12.75" x14ac:dyDescent="0.35">
      <c r="L641" s="25"/>
    </row>
    <row r="642" spans="12:12" ht="12.75" x14ac:dyDescent="0.35">
      <c r="L642" s="25"/>
    </row>
    <row r="643" spans="12:12" ht="12.75" x14ac:dyDescent="0.35">
      <c r="L643" s="25"/>
    </row>
    <row r="644" spans="12:12" ht="12.75" x14ac:dyDescent="0.35">
      <c r="L644" s="25"/>
    </row>
    <row r="645" spans="12:12" ht="12.75" x14ac:dyDescent="0.35">
      <c r="L645" s="25"/>
    </row>
    <row r="646" spans="12:12" ht="12.75" x14ac:dyDescent="0.35">
      <c r="L646" s="25"/>
    </row>
    <row r="647" spans="12:12" ht="12.75" x14ac:dyDescent="0.35">
      <c r="L647" s="25"/>
    </row>
    <row r="648" spans="12:12" ht="12.75" x14ac:dyDescent="0.35">
      <c r="L648" s="25"/>
    </row>
    <row r="649" spans="12:12" ht="12.75" x14ac:dyDescent="0.35">
      <c r="L649" s="25"/>
    </row>
    <row r="650" spans="12:12" ht="12.75" x14ac:dyDescent="0.35">
      <c r="L650" s="25"/>
    </row>
    <row r="651" spans="12:12" ht="12.75" x14ac:dyDescent="0.35">
      <c r="L651" s="25"/>
    </row>
    <row r="652" spans="12:12" ht="12.75" x14ac:dyDescent="0.35">
      <c r="L652" s="25"/>
    </row>
    <row r="653" spans="12:12" ht="12.75" x14ac:dyDescent="0.35">
      <c r="L653" s="25"/>
    </row>
    <row r="654" spans="12:12" ht="12.75" x14ac:dyDescent="0.35">
      <c r="L654" s="25"/>
    </row>
    <row r="655" spans="12:12" ht="12.75" x14ac:dyDescent="0.35">
      <c r="L655" s="25"/>
    </row>
    <row r="656" spans="12:12" ht="12.75" x14ac:dyDescent="0.35">
      <c r="L656" s="25"/>
    </row>
    <row r="657" spans="12:12" ht="12.75" x14ac:dyDescent="0.35">
      <c r="L657" s="25"/>
    </row>
    <row r="658" spans="12:12" ht="12.75" x14ac:dyDescent="0.35">
      <c r="L658" s="25"/>
    </row>
    <row r="659" spans="12:12" ht="12.75" x14ac:dyDescent="0.35">
      <c r="L659" s="25"/>
    </row>
    <row r="660" spans="12:12" ht="12.75" x14ac:dyDescent="0.35">
      <c r="L660" s="25"/>
    </row>
    <row r="661" spans="12:12" ht="12.75" x14ac:dyDescent="0.35">
      <c r="L661" s="25"/>
    </row>
    <row r="662" spans="12:12" ht="12.75" x14ac:dyDescent="0.35">
      <c r="L662" s="25"/>
    </row>
    <row r="663" spans="12:12" ht="12.75" x14ac:dyDescent="0.35">
      <c r="L663" s="25"/>
    </row>
    <row r="664" spans="12:12" ht="12.75" x14ac:dyDescent="0.35">
      <c r="L664" s="25"/>
    </row>
    <row r="665" spans="12:12" ht="12.75" x14ac:dyDescent="0.35">
      <c r="L665" s="25"/>
    </row>
    <row r="666" spans="12:12" ht="12.75" x14ac:dyDescent="0.35">
      <c r="L666" s="25"/>
    </row>
    <row r="667" spans="12:12" ht="12.75" x14ac:dyDescent="0.35">
      <c r="L667" s="25"/>
    </row>
    <row r="668" spans="12:12" ht="12.75" x14ac:dyDescent="0.35">
      <c r="L668" s="25"/>
    </row>
    <row r="669" spans="12:12" ht="12.75" x14ac:dyDescent="0.35">
      <c r="L669" s="25"/>
    </row>
    <row r="670" spans="12:12" ht="12.75" x14ac:dyDescent="0.35">
      <c r="L670" s="25"/>
    </row>
    <row r="671" spans="12:12" ht="12.75" x14ac:dyDescent="0.35">
      <c r="L671" s="25"/>
    </row>
    <row r="672" spans="12:12" ht="12.75" x14ac:dyDescent="0.35">
      <c r="L672" s="25"/>
    </row>
    <row r="673" spans="12:12" ht="12.75" x14ac:dyDescent="0.35">
      <c r="L673" s="25"/>
    </row>
    <row r="674" spans="12:12" ht="12.75" x14ac:dyDescent="0.35">
      <c r="L674" s="25"/>
    </row>
    <row r="675" spans="12:12" ht="12.75" x14ac:dyDescent="0.35">
      <c r="L675" s="25"/>
    </row>
    <row r="676" spans="12:12" ht="12.75" x14ac:dyDescent="0.35">
      <c r="L676" s="25"/>
    </row>
    <row r="677" spans="12:12" ht="12.75" x14ac:dyDescent="0.35">
      <c r="L677" s="25"/>
    </row>
    <row r="678" spans="12:12" ht="12.75" x14ac:dyDescent="0.35">
      <c r="L678" s="25"/>
    </row>
    <row r="679" spans="12:12" ht="12.75" x14ac:dyDescent="0.35">
      <c r="L679" s="25"/>
    </row>
    <row r="680" spans="12:12" ht="12.75" x14ac:dyDescent="0.35">
      <c r="L680" s="25"/>
    </row>
    <row r="681" spans="12:12" ht="12.75" x14ac:dyDescent="0.35">
      <c r="L681" s="25"/>
    </row>
    <row r="682" spans="12:12" ht="12.75" x14ac:dyDescent="0.35">
      <c r="L682" s="25"/>
    </row>
    <row r="683" spans="12:12" ht="12.75" x14ac:dyDescent="0.35">
      <c r="L683" s="25"/>
    </row>
    <row r="684" spans="12:12" ht="12.75" x14ac:dyDescent="0.35">
      <c r="L684" s="25"/>
    </row>
    <row r="685" spans="12:12" ht="12.75" x14ac:dyDescent="0.35">
      <c r="L685" s="25"/>
    </row>
    <row r="686" spans="12:12" ht="12.75" x14ac:dyDescent="0.35">
      <c r="L686" s="25"/>
    </row>
    <row r="687" spans="12:12" ht="12.75" x14ac:dyDescent="0.35">
      <c r="L687" s="25"/>
    </row>
    <row r="688" spans="12:12" ht="12.75" x14ac:dyDescent="0.35">
      <c r="L688" s="25"/>
    </row>
    <row r="689" spans="12:12" ht="12.75" x14ac:dyDescent="0.35">
      <c r="L689" s="25"/>
    </row>
    <row r="690" spans="12:12" ht="12.75" x14ac:dyDescent="0.35">
      <c r="L690" s="25"/>
    </row>
    <row r="691" spans="12:12" ht="12.75" x14ac:dyDescent="0.35">
      <c r="L691" s="25"/>
    </row>
    <row r="692" spans="12:12" ht="12.75" x14ac:dyDescent="0.35">
      <c r="L692" s="25"/>
    </row>
    <row r="693" spans="12:12" ht="12.75" x14ac:dyDescent="0.35">
      <c r="L693" s="25"/>
    </row>
    <row r="694" spans="12:12" ht="12.75" x14ac:dyDescent="0.35">
      <c r="L694" s="25"/>
    </row>
    <row r="695" spans="12:12" ht="12.75" x14ac:dyDescent="0.35">
      <c r="L695" s="25"/>
    </row>
    <row r="696" spans="12:12" ht="12.75" x14ac:dyDescent="0.35">
      <c r="L696" s="25"/>
    </row>
    <row r="697" spans="12:12" ht="12.75" x14ac:dyDescent="0.35">
      <c r="L697" s="25"/>
    </row>
    <row r="698" spans="12:12" ht="12.75" x14ac:dyDescent="0.35">
      <c r="L698" s="25"/>
    </row>
    <row r="699" spans="12:12" ht="12.75" x14ac:dyDescent="0.35">
      <c r="L699" s="25"/>
    </row>
    <row r="700" spans="12:12" ht="12.75" x14ac:dyDescent="0.35">
      <c r="L700" s="25"/>
    </row>
    <row r="701" spans="12:12" ht="12.75" x14ac:dyDescent="0.35">
      <c r="L701" s="25"/>
    </row>
    <row r="702" spans="12:12" ht="12.75" x14ac:dyDescent="0.35">
      <c r="L702" s="25"/>
    </row>
    <row r="703" spans="12:12" ht="12.75" x14ac:dyDescent="0.35">
      <c r="L703" s="25"/>
    </row>
    <row r="704" spans="12:12" ht="12.75" x14ac:dyDescent="0.35">
      <c r="L704" s="25"/>
    </row>
    <row r="705" spans="12:12" ht="12.75" x14ac:dyDescent="0.35">
      <c r="L705" s="25"/>
    </row>
    <row r="706" spans="12:12" ht="12.75" x14ac:dyDescent="0.35">
      <c r="L706" s="25"/>
    </row>
    <row r="707" spans="12:12" ht="12.75" x14ac:dyDescent="0.35">
      <c r="L707" s="25"/>
    </row>
    <row r="708" spans="12:12" ht="12.75" x14ac:dyDescent="0.35">
      <c r="L708" s="25"/>
    </row>
    <row r="709" spans="12:12" ht="12.75" x14ac:dyDescent="0.35">
      <c r="L709" s="25"/>
    </row>
    <row r="710" spans="12:12" ht="12.75" x14ac:dyDescent="0.35">
      <c r="L710" s="25"/>
    </row>
    <row r="711" spans="12:12" ht="12.75" x14ac:dyDescent="0.35">
      <c r="L711" s="25"/>
    </row>
    <row r="712" spans="12:12" ht="12.75" x14ac:dyDescent="0.35">
      <c r="L712" s="25"/>
    </row>
    <row r="713" spans="12:12" ht="12.75" x14ac:dyDescent="0.35">
      <c r="L713" s="25"/>
    </row>
    <row r="714" spans="12:12" ht="12.75" x14ac:dyDescent="0.35">
      <c r="L714" s="25"/>
    </row>
    <row r="715" spans="12:12" ht="12.75" x14ac:dyDescent="0.35">
      <c r="L715" s="25"/>
    </row>
    <row r="716" spans="12:12" ht="12.75" x14ac:dyDescent="0.35">
      <c r="L716" s="25"/>
    </row>
    <row r="717" spans="12:12" ht="12.75" x14ac:dyDescent="0.35">
      <c r="L717" s="25"/>
    </row>
    <row r="718" spans="12:12" ht="12.75" x14ac:dyDescent="0.35">
      <c r="L718" s="25"/>
    </row>
    <row r="719" spans="12:12" ht="12.75" x14ac:dyDescent="0.35">
      <c r="L719" s="25"/>
    </row>
    <row r="720" spans="12:12" ht="12.75" x14ac:dyDescent="0.35">
      <c r="L720" s="25"/>
    </row>
    <row r="721" spans="12:12" ht="12.75" x14ac:dyDescent="0.35">
      <c r="L721" s="25"/>
    </row>
    <row r="722" spans="12:12" ht="12.75" x14ac:dyDescent="0.35">
      <c r="L722" s="25"/>
    </row>
    <row r="723" spans="12:12" ht="12.75" x14ac:dyDescent="0.35">
      <c r="L723" s="25"/>
    </row>
    <row r="724" spans="12:12" ht="12.75" x14ac:dyDescent="0.35">
      <c r="L724" s="25"/>
    </row>
    <row r="725" spans="12:12" ht="12.75" x14ac:dyDescent="0.35">
      <c r="L725" s="25"/>
    </row>
    <row r="726" spans="12:12" ht="12.75" x14ac:dyDescent="0.35">
      <c r="L726" s="25"/>
    </row>
    <row r="727" spans="12:12" ht="12.75" x14ac:dyDescent="0.35">
      <c r="L727" s="25"/>
    </row>
    <row r="728" spans="12:12" ht="12.75" x14ac:dyDescent="0.35">
      <c r="L728" s="25"/>
    </row>
    <row r="729" spans="12:12" ht="12.75" x14ac:dyDescent="0.35">
      <c r="L729" s="25"/>
    </row>
    <row r="730" spans="12:12" ht="12.75" x14ac:dyDescent="0.35">
      <c r="L730" s="25"/>
    </row>
    <row r="731" spans="12:12" ht="12.75" x14ac:dyDescent="0.35">
      <c r="L731" s="25"/>
    </row>
    <row r="732" spans="12:12" ht="12.75" x14ac:dyDescent="0.35">
      <c r="L732" s="25"/>
    </row>
    <row r="733" spans="12:12" ht="12.75" x14ac:dyDescent="0.35">
      <c r="L733" s="25"/>
    </row>
    <row r="734" spans="12:12" ht="12.75" x14ac:dyDescent="0.35">
      <c r="L734" s="25"/>
    </row>
    <row r="735" spans="12:12" ht="12.75" x14ac:dyDescent="0.35">
      <c r="L735" s="25"/>
    </row>
    <row r="736" spans="12:12" ht="12.75" x14ac:dyDescent="0.35">
      <c r="L736" s="25"/>
    </row>
    <row r="737" spans="12:12" ht="12.75" x14ac:dyDescent="0.35">
      <c r="L737" s="25"/>
    </row>
    <row r="738" spans="12:12" ht="12.75" x14ac:dyDescent="0.35">
      <c r="L738" s="25"/>
    </row>
    <row r="739" spans="12:12" ht="12.75" x14ac:dyDescent="0.35">
      <c r="L739" s="25"/>
    </row>
    <row r="740" spans="12:12" ht="12.75" x14ac:dyDescent="0.35">
      <c r="L740" s="25"/>
    </row>
    <row r="741" spans="12:12" ht="12.75" x14ac:dyDescent="0.35">
      <c r="L741" s="25"/>
    </row>
    <row r="742" spans="12:12" ht="12.75" x14ac:dyDescent="0.35">
      <c r="L742" s="25"/>
    </row>
    <row r="743" spans="12:12" ht="12.75" x14ac:dyDescent="0.35">
      <c r="L743" s="25"/>
    </row>
    <row r="744" spans="12:12" ht="12.75" x14ac:dyDescent="0.35">
      <c r="L744" s="25"/>
    </row>
    <row r="745" spans="12:12" ht="12.75" x14ac:dyDescent="0.35">
      <c r="L745" s="25"/>
    </row>
    <row r="746" spans="12:12" ht="12.75" x14ac:dyDescent="0.35">
      <c r="L746" s="25"/>
    </row>
    <row r="747" spans="12:12" ht="12.75" x14ac:dyDescent="0.35">
      <c r="L747" s="25"/>
    </row>
    <row r="748" spans="12:12" ht="12.75" x14ac:dyDescent="0.35">
      <c r="L748" s="25"/>
    </row>
    <row r="749" spans="12:12" ht="12.75" x14ac:dyDescent="0.35">
      <c r="L749" s="25"/>
    </row>
    <row r="750" spans="12:12" ht="12.75" x14ac:dyDescent="0.35">
      <c r="L750" s="25"/>
    </row>
    <row r="751" spans="12:12" ht="12.75" x14ac:dyDescent="0.35">
      <c r="L751" s="25"/>
    </row>
    <row r="752" spans="12:12" ht="12.75" x14ac:dyDescent="0.35">
      <c r="L752" s="25"/>
    </row>
    <row r="753" spans="12:12" ht="12.75" x14ac:dyDescent="0.35">
      <c r="L753" s="25"/>
    </row>
    <row r="754" spans="12:12" ht="12.75" x14ac:dyDescent="0.35">
      <c r="L754" s="25"/>
    </row>
    <row r="755" spans="12:12" ht="12.75" x14ac:dyDescent="0.35">
      <c r="L755" s="25"/>
    </row>
    <row r="756" spans="12:12" ht="12.75" x14ac:dyDescent="0.35">
      <c r="L756" s="25"/>
    </row>
    <row r="757" spans="12:12" ht="12.75" x14ac:dyDescent="0.35">
      <c r="L757" s="25"/>
    </row>
    <row r="758" spans="12:12" ht="12.75" x14ac:dyDescent="0.35">
      <c r="L758" s="25"/>
    </row>
    <row r="759" spans="12:12" ht="12.75" x14ac:dyDescent="0.35">
      <c r="L759" s="25"/>
    </row>
    <row r="760" spans="12:12" ht="12.75" x14ac:dyDescent="0.35">
      <c r="L760" s="25"/>
    </row>
    <row r="761" spans="12:12" ht="12.75" x14ac:dyDescent="0.35">
      <c r="L761" s="25"/>
    </row>
    <row r="762" spans="12:12" ht="12.75" x14ac:dyDescent="0.35">
      <c r="L762" s="25"/>
    </row>
    <row r="763" spans="12:12" ht="12.75" x14ac:dyDescent="0.35">
      <c r="L763" s="25"/>
    </row>
    <row r="764" spans="12:12" ht="12.75" x14ac:dyDescent="0.35">
      <c r="L764" s="25"/>
    </row>
    <row r="765" spans="12:12" ht="12.75" x14ac:dyDescent="0.35">
      <c r="L765" s="25"/>
    </row>
    <row r="766" spans="12:12" ht="12.75" x14ac:dyDescent="0.35">
      <c r="L766" s="25"/>
    </row>
    <row r="767" spans="12:12" ht="12.75" x14ac:dyDescent="0.35">
      <c r="L767" s="25"/>
    </row>
    <row r="768" spans="12:12" ht="12.75" x14ac:dyDescent="0.35">
      <c r="L768" s="25"/>
    </row>
    <row r="769" spans="12:12" ht="12.75" x14ac:dyDescent="0.35">
      <c r="L769" s="25"/>
    </row>
    <row r="770" spans="12:12" ht="12.75" x14ac:dyDescent="0.35">
      <c r="L770" s="25"/>
    </row>
    <row r="771" spans="12:12" ht="12.75" x14ac:dyDescent="0.35">
      <c r="L771" s="25"/>
    </row>
    <row r="772" spans="12:12" ht="12.75" x14ac:dyDescent="0.35">
      <c r="L772" s="25"/>
    </row>
    <row r="773" spans="12:12" ht="12.75" x14ac:dyDescent="0.35">
      <c r="L773" s="25"/>
    </row>
    <row r="774" spans="12:12" ht="12.75" x14ac:dyDescent="0.35">
      <c r="L774" s="25"/>
    </row>
    <row r="775" spans="12:12" ht="12.75" x14ac:dyDescent="0.35">
      <c r="L775" s="25"/>
    </row>
    <row r="776" spans="12:12" ht="12.75" x14ac:dyDescent="0.35">
      <c r="L776" s="25"/>
    </row>
    <row r="777" spans="12:12" ht="12.75" x14ac:dyDescent="0.35">
      <c r="L777" s="25"/>
    </row>
    <row r="778" spans="12:12" ht="12.75" x14ac:dyDescent="0.35">
      <c r="L778" s="25"/>
    </row>
    <row r="779" spans="12:12" ht="12.75" x14ac:dyDescent="0.35">
      <c r="L779" s="25"/>
    </row>
    <row r="780" spans="12:12" ht="12.75" x14ac:dyDescent="0.35">
      <c r="L780" s="25"/>
    </row>
    <row r="781" spans="12:12" ht="12.75" x14ac:dyDescent="0.35">
      <c r="L781" s="25"/>
    </row>
    <row r="782" spans="12:12" ht="12.75" x14ac:dyDescent="0.35">
      <c r="L782" s="25"/>
    </row>
    <row r="783" spans="12:12" ht="12.75" x14ac:dyDescent="0.35">
      <c r="L783" s="25"/>
    </row>
    <row r="784" spans="12:12" ht="12.75" x14ac:dyDescent="0.35">
      <c r="L784" s="25"/>
    </row>
    <row r="785" spans="12:12" ht="12.75" x14ac:dyDescent="0.35">
      <c r="L785" s="25"/>
    </row>
    <row r="786" spans="12:12" ht="12.75" x14ac:dyDescent="0.35">
      <c r="L786" s="25"/>
    </row>
    <row r="787" spans="12:12" ht="12.75" x14ac:dyDescent="0.35">
      <c r="L787" s="25"/>
    </row>
    <row r="788" spans="12:12" ht="12.75" x14ac:dyDescent="0.35">
      <c r="L788" s="25"/>
    </row>
    <row r="789" spans="12:12" ht="12.75" x14ac:dyDescent="0.35">
      <c r="L789" s="25"/>
    </row>
    <row r="790" spans="12:12" ht="12.75" x14ac:dyDescent="0.35">
      <c r="L790" s="25"/>
    </row>
    <row r="791" spans="12:12" ht="12.75" x14ac:dyDescent="0.35">
      <c r="L791" s="25"/>
    </row>
    <row r="792" spans="12:12" ht="12.75" x14ac:dyDescent="0.35">
      <c r="L792" s="25"/>
    </row>
    <row r="793" spans="12:12" ht="12.75" x14ac:dyDescent="0.35">
      <c r="L793" s="25"/>
    </row>
    <row r="794" spans="12:12" ht="12.75" x14ac:dyDescent="0.35">
      <c r="L794" s="25"/>
    </row>
    <row r="795" spans="12:12" ht="12.75" x14ac:dyDescent="0.35">
      <c r="L795" s="25"/>
    </row>
    <row r="796" spans="12:12" ht="12.75" x14ac:dyDescent="0.35">
      <c r="L796" s="25"/>
    </row>
    <row r="797" spans="12:12" ht="12.75" x14ac:dyDescent="0.35">
      <c r="L797" s="25"/>
    </row>
    <row r="798" spans="12:12" ht="12.75" x14ac:dyDescent="0.35">
      <c r="L798" s="25"/>
    </row>
    <row r="799" spans="12:12" ht="12.75" x14ac:dyDescent="0.35">
      <c r="L799" s="25"/>
    </row>
    <row r="800" spans="12:12" ht="12.75" x14ac:dyDescent="0.35">
      <c r="L800" s="25"/>
    </row>
    <row r="801" spans="12:12" ht="12.75" x14ac:dyDescent="0.35">
      <c r="L801" s="25"/>
    </row>
    <row r="802" spans="12:12" ht="12.75" x14ac:dyDescent="0.35">
      <c r="L802" s="25"/>
    </row>
    <row r="803" spans="12:12" ht="12.75" x14ac:dyDescent="0.35">
      <c r="L803" s="25"/>
    </row>
    <row r="804" spans="12:12" ht="12.75" x14ac:dyDescent="0.35">
      <c r="L804" s="25"/>
    </row>
    <row r="805" spans="12:12" ht="12.75" x14ac:dyDescent="0.35">
      <c r="L805" s="25"/>
    </row>
    <row r="806" spans="12:12" ht="12.75" x14ac:dyDescent="0.35">
      <c r="L806" s="25"/>
    </row>
    <row r="807" spans="12:12" ht="12.75" x14ac:dyDescent="0.35">
      <c r="L807" s="25"/>
    </row>
    <row r="808" spans="12:12" ht="12.75" x14ac:dyDescent="0.35">
      <c r="L808" s="25"/>
    </row>
    <row r="809" spans="12:12" ht="12.75" x14ac:dyDescent="0.35">
      <c r="L809" s="25"/>
    </row>
    <row r="810" spans="12:12" ht="12.75" x14ac:dyDescent="0.35">
      <c r="L810" s="25"/>
    </row>
    <row r="811" spans="12:12" ht="12.75" x14ac:dyDescent="0.35">
      <c r="L811" s="25"/>
    </row>
    <row r="812" spans="12:12" ht="12.75" x14ac:dyDescent="0.35">
      <c r="L812" s="25"/>
    </row>
    <row r="813" spans="12:12" ht="12.75" x14ac:dyDescent="0.35">
      <c r="L813" s="25"/>
    </row>
    <row r="814" spans="12:12" ht="12.75" x14ac:dyDescent="0.35">
      <c r="L814" s="25"/>
    </row>
    <row r="815" spans="12:12" ht="12.75" x14ac:dyDescent="0.35">
      <c r="L815" s="25"/>
    </row>
    <row r="816" spans="12:12" ht="12.75" x14ac:dyDescent="0.35">
      <c r="L816" s="25"/>
    </row>
    <row r="817" spans="12:12" ht="12.75" x14ac:dyDescent="0.35">
      <c r="L817" s="25"/>
    </row>
    <row r="818" spans="12:12" ht="12.75" x14ac:dyDescent="0.35">
      <c r="L818" s="25"/>
    </row>
    <row r="819" spans="12:12" ht="12.75" x14ac:dyDescent="0.35">
      <c r="L819" s="25"/>
    </row>
    <row r="820" spans="12:12" ht="12.75" x14ac:dyDescent="0.35">
      <c r="L820" s="25"/>
    </row>
    <row r="821" spans="12:12" ht="12.75" x14ac:dyDescent="0.35">
      <c r="L821" s="25"/>
    </row>
    <row r="822" spans="12:12" ht="12.75" x14ac:dyDescent="0.35">
      <c r="L822" s="25"/>
    </row>
    <row r="823" spans="12:12" ht="12.75" x14ac:dyDescent="0.35">
      <c r="L823" s="25"/>
    </row>
    <row r="824" spans="12:12" ht="12.75" x14ac:dyDescent="0.35">
      <c r="L824" s="25"/>
    </row>
    <row r="825" spans="12:12" ht="12.75" x14ac:dyDescent="0.35">
      <c r="L825" s="25"/>
    </row>
    <row r="826" spans="12:12" ht="12.75" x14ac:dyDescent="0.35">
      <c r="L826" s="25"/>
    </row>
    <row r="827" spans="12:12" ht="12.75" x14ac:dyDescent="0.35">
      <c r="L827" s="25"/>
    </row>
    <row r="828" spans="12:12" ht="12.75" x14ac:dyDescent="0.35">
      <c r="L828" s="25"/>
    </row>
    <row r="829" spans="12:12" ht="12.75" x14ac:dyDescent="0.35">
      <c r="L829" s="25"/>
    </row>
    <row r="830" spans="12:12" ht="12.75" x14ac:dyDescent="0.35">
      <c r="L830" s="25"/>
    </row>
    <row r="831" spans="12:12" ht="12.75" x14ac:dyDescent="0.35">
      <c r="L831" s="25"/>
    </row>
    <row r="832" spans="12:12" ht="12.75" x14ac:dyDescent="0.35">
      <c r="L832" s="25"/>
    </row>
    <row r="833" spans="12:12" ht="12.75" x14ac:dyDescent="0.35">
      <c r="L833" s="25"/>
    </row>
    <row r="834" spans="12:12" ht="12.75" x14ac:dyDescent="0.35">
      <c r="L834" s="25"/>
    </row>
    <row r="835" spans="12:12" ht="12.75" x14ac:dyDescent="0.35">
      <c r="L835" s="25"/>
    </row>
    <row r="836" spans="12:12" ht="12.75" x14ac:dyDescent="0.35">
      <c r="L836" s="25"/>
    </row>
    <row r="837" spans="12:12" ht="12.75" x14ac:dyDescent="0.35">
      <c r="L837" s="25"/>
    </row>
    <row r="838" spans="12:12" ht="12.75" x14ac:dyDescent="0.35">
      <c r="L838" s="25"/>
    </row>
    <row r="839" spans="12:12" ht="12.75" x14ac:dyDescent="0.35">
      <c r="L839" s="25"/>
    </row>
    <row r="840" spans="12:12" ht="12.75" x14ac:dyDescent="0.35">
      <c r="L840" s="25"/>
    </row>
    <row r="841" spans="12:12" ht="12.75" x14ac:dyDescent="0.35">
      <c r="L841" s="25"/>
    </row>
    <row r="842" spans="12:12" ht="12.75" x14ac:dyDescent="0.35">
      <c r="L842" s="25"/>
    </row>
    <row r="843" spans="12:12" ht="12.75" x14ac:dyDescent="0.35">
      <c r="L843" s="25"/>
    </row>
    <row r="844" spans="12:12" ht="12.75" x14ac:dyDescent="0.35">
      <c r="L844" s="25"/>
    </row>
    <row r="845" spans="12:12" ht="12.75" x14ac:dyDescent="0.35">
      <c r="L845" s="25"/>
    </row>
    <row r="846" spans="12:12" ht="12.75" x14ac:dyDescent="0.35">
      <c r="L846" s="25"/>
    </row>
    <row r="847" spans="12:12" ht="12.75" x14ac:dyDescent="0.35">
      <c r="L847" s="25"/>
    </row>
    <row r="848" spans="12:12" ht="12.75" x14ac:dyDescent="0.35">
      <c r="L848" s="25"/>
    </row>
    <row r="849" spans="12:12" ht="12.75" x14ac:dyDescent="0.35">
      <c r="L849" s="25"/>
    </row>
    <row r="850" spans="12:12" ht="12.75" x14ac:dyDescent="0.35">
      <c r="L850" s="25"/>
    </row>
    <row r="851" spans="12:12" ht="12.75" x14ac:dyDescent="0.35">
      <c r="L851" s="25"/>
    </row>
    <row r="852" spans="12:12" ht="12.75" x14ac:dyDescent="0.35">
      <c r="L852" s="25"/>
    </row>
    <row r="853" spans="12:12" ht="12.75" x14ac:dyDescent="0.35">
      <c r="L853" s="25"/>
    </row>
    <row r="854" spans="12:12" ht="12.75" x14ac:dyDescent="0.35">
      <c r="L854" s="25"/>
    </row>
    <row r="855" spans="12:12" ht="12.75" x14ac:dyDescent="0.35">
      <c r="L855" s="25"/>
    </row>
    <row r="856" spans="12:12" ht="12.75" x14ac:dyDescent="0.35">
      <c r="L856" s="25"/>
    </row>
    <row r="857" spans="12:12" ht="12.75" x14ac:dyDescent="0.35">
      <c r="L857" s="25"/>
    </row>
    <row r="858" spans="12:12" ht="12.75" x14ac:dyDescent="0.35">
      <c r="L858" s="25"/>
    </row>
    <row r="859" spans="12:12" ht="12.75" x14ac:dyDescent="0.35">
      <c r="L859" s="25"/>
    </row>
    <row r="860" spans="12:12" ht="12.75" x14ac:dyDescent="0.35">
      <c r="L860" s="25"/>
    </row>
    <row r="861" spans="12:12" ht="12.75" x14ac:dyDescent="0.35">
      <c r="L861" s="25"/>
    </row>
    <row r="862" spans="12:12" ht="12.75" x14ac:dyDescent="0.35">
      <c r="L862" s="25"/>
    </row>
    <row r="863" spans="12:12" ht="12.75" x14ac:dyDescent="0.35">
      <c r="L863" s="25"/>
    </row>
    <row r="864" spans="12:12" ht="12.75" x14ac:dyDescent="0.35">
      <c r="L864" s="25"/>
    </row>
    <row r="865" spans="12:12" ht="12.75" x14ac:dyDescent="0.35">
      <c r="L865" s="25"/>
    </row>
    <row r="866" spans="12:12" ht="12.75" x14ac:dyDescent="0.35">
      <c r="L866" s="25"/>
    </row>
    <row r="867" spans="12:12" ht="12.75" x14ac:dyDescent="0.35">
      <c r="L867" s="25"/>
    </row>
    <row r="868" spans="12:12" ht="12.75" x14ac:dyDescent="0.35">
      <c r="L868" s="25"/>
    </row>
    <row r="869" spans="12:12" ht="12.75" x14ac:dyDescent="0.35">
      <c r="L869" s="25"/>
    </row>
    <row r="870" spans="12:12" ht="12.75" x14ac:dyDescent="0.35">
      <c r="L870" s="25"/>
    </row>
    <row r="871" spans="12:12" ht="12.75" x14ac:dyDescent="0.35">
      <c r="L871" s="25"/>
    </row>
    <row r="872" spans="12:12" ht="12.75" x14ac:dyDescent="0.35">
      <c r="L872" s="25"/>
    </row>
    <row r="873" spans="12:12" ht="12.75" x14ac:dyDescent="0.35">
      <c r="L873" s="25"/>
    </row>
    <row r="874" spans="12:12" ht="12.75" x14ac:dyDescent="0.35">
      <c r="L874" s="25"/>
    </row>
    <row r="875" spans="12:12" ht="12.75" x14ac:dyDescent="0.35">
      <c r="L875" s="25"/>
    </row>
    <row r="876" spans="12:12" ht="12.75" x14ac:dyDescent="0.35">
      <c r="L876" s="25"/>
    </row>
    <row r="877" spans="12:12" ht="12.75" x14ac:dyDescent="0.35">
      <c r="L877" s="25"/>
    </row>
    <row r="878" spans="12:12" ht="12.75" x14ac:dyDescent="0.35">
      <c r="L878" s="25"/>
    </row>
    <row r="879" spans="12:12" ht="12.75" x14ac:dyDescent="0.35">
      <c r="L879" s="25"/>
    </row>
    <row r="880" spans="12:12" ht="12.75" x14ac:dyDescent="0.35">
      <c r="L880" s="25"/>
    </row>
    <row r="881" spans="12:12" ht="12.75" x14ac:dyDescent="0.35">
      <c r="L881" s="25"/>
    </row>
    <row r="882" spans="12:12" ht="12.75" x14ac:dyDescent="0.35">
      <c r="L882" s="25"/>
    </row>
    <row r="883" spans="12:12" ht="12.75" x14ac:dyDescent="0.35">
      <c r="L883" s="25"/>
    </row>
    <row r="884" spans="12:12" ht="12.75" x14ac:dyDescent="0.35">
      <c r="L884" s="25"/>
    </row>
    <row r="885" spans="12:12" ht="12.75" x14ac:dyDescent="0.35">
      <c r="L885" s="25"/>
    </row>
    <row r="886" spans="12:12" ht="12.75" x14ac:dyDescent="0.35">
      <c r="L886" s="25"/>
    </row>
    <row r="887" spans="12:12" ht="12.75" x14ac:dyDescent="0.35">
      <c r="L887" s="25"/>
    </row>
    <row r="888" spans="12:12" ht="12.75" x14ac:dyDescent="0.35">
      <c r="L888" s="25"/>
    </row>
    <row r="889" spans="12:12" ht="12.75" x14ac:dyDescent="0.35">
      <c r="L889" s="25"/>
    </row>
    <row r="890" spans="12:12" ht="12.75" x14ac:dyDescent="0.35">
      <c r="L890" s="25"/>
    </row>
    <row r="891" spans="12:12" ht="12.75" x14ac:dyDescent="0.35">
      <c r="L891" s="25"/>
    </row>
    <row r="892" spans="12:12" ht="12.75" x14ac:dyDescent="0.35">
      <c r="L892" s="25"/>
    </row>
    <row r="893" spans="12:12" ht="12.75" x14ac:dyDescent="0.35">
      <c r="L893" s="25"/>
    </row>
    <row r="894" spans="12:12" ht="12.75" x14ac:dyDescent="0.35">
      <c r="L894" s="25"/>
    </row>
    <row r="895" spans="12:12" ht="12.75" x14ac:dyDescent="0.35">
      <c r="L895" s="25"/>
    </row>
    <row r="896" spans="12:12" ht="12.75" x14ac:dyDescent="0.35">
      <c r="L896" s="25"/>
    </row>
    <row r="897" spans="12:12" ht="12.75" x14ac:dyDescent="0.35">
      <c r="L897" s="25"/>
    </row>
    <row r="898" spans="12:12" ht="12.75" x14ac:dyDescent="0.35">
      <c r="L898" s="25"/>
    </row>
    <row r="899" spans="12:12" ht="12.75" x14ac:dyDescent="0.35">
      <c r="L899" s="25"/>
    </row>
    <row r="900" spans="12:12" ht="12.75" x14ac:dyDescent="0.35">
      <c r="L900" s="25"/>
    </row>
    <row r="901" spans="12:12" ht="12.75" x14ac:dyDescent="0.35">
      <c r="L901" s="25"/>
    </row>
    <row r="902" spans="12:12" ht="12.75" x14ac:dyDescent="0.35">
      <c r="L902" s="25"/>
    </row>
    <row r="903" spans="12:12" ht="12.75" x14ac:dyDescent="0.35">
      <c r="L903" s="25"/>
    </row>
    <row r="904" spans="12:12" ht="12.75" x14ac:dyDescent="0.35">
      <c r="L904" s="25"/>
    </row>
    <row r="905" spans="12:12" ht="12.75" x14ac:dyDescent="0.35">
      <c r="L905" s="25"/>
    </row>
    <row r="906" spans="12:12" ht="12.75" x14ac:dyDescent="0.35">
      <c r="L906" s="25"/>
    </row>
    <row r="907" spans="12:12" ht="12.75" x14ac:dyDescent="0.35">
      <c r="L907" s="25"/>
    </row>
    <row r="908" spans="12:12" ht="12.75" x14ac:dyDescent="0.35">
      <c r="L908" s="25"/>
    </row>
    <row r="909" spans="12:12" ht="12.75" x14ac:dyDescent="0.35">
      <c r="L909" s="25"/>
    </row>
    <row r="910" spans="12:12" ht="12.75" x14ac:dyDescent="0.35">
      <c r="L910" s="25"/>
    </row>
    <row r="911" spans="12:12" ht="12.75" x14ac:dyDescent="0.35">
      <c r="L911" s="25"/>
    </row>
    <row r="912" spans="12:12" ht="12.75" x14ac:dyDescent="0.35">
      <c r="L912" s="25"/>
    </row>
    <row r="913" spans="12:12" ht="12.75" x14ac:dyDescent="0.35">
      <c r="L913" s="25"/>
    </row>
    <row r="914" spans="12:12" ht="12.75" x14ac:dyDescent="0.35">
      <c r="L914" s="25"/>
    </row>
    <row r="915" spans="12:12" ht="12.75" x14ac:dyDescent="0.35">
      <c r="L915" s="25"/>
    </row>
    <row r="916" spans="12:12" ht="12.75" x14ac:dyDescent="0.35">
      <c r="L916" s="25"/>
    </row>
    <row r="917" spans="12:12" ht="12.75" x14ac:dyDescent="0.35">
      <c r="L917" s="25"/>
    </row>
    <row r="918" spans="12:12" ht="12.75" x14ac:dyDescent="0.35">
      <c r="L918" s="25"/>
    </row>
    <row r="919" spans="12:12" ht="12.75" x14ac:dyDescent="0.35">
      <c r="L919" s="25"/>
    </row>
    <row r="920" spans="12:12" ht="12.75" x14ac:dyDescent="0.35">
      <c r="L920" s="25"/>
    </row>
    <row r="921" spans="12:12" ht="12.75" x14ac:dyDescent="0.35">
      <c r="L921" s="25"/>
    </row>
    <row r="922" spans="12:12" ht="12.75" x14ac:dyDescent="0.35">
      <c r="L922" s="25"/>
    </row>
    <row r="923" spans="12:12" ht="12.75" x14ac:dyDescent="0.35">
      <c r="L923" s="25"/>
    </row>
    <row r="924" spans="12:12" ht="12.75" x14ac:dyDescent="0.35">
      <c r="L924" s="25"/>
    </row>
    <row r="925" spans="12:12" ht="12.75" x14ac:dyDescent="0.35">
      <c r="L925" s="25"/>
    </row>
    <row r="926" spans="12:12" ht="12.75" x14ac:dyDescent="0.35">
      <c r="L926" s="25"/>
    </row>
    <row r="927" spans="12:12" ht="12.75" x14ac:dyDescent="0.35">
      <c r="L927" s="25"/>
    </row>
    <row r="928" spans="12:12" ht="12.75" x14ac:dyDescent="0.35">
      <c r="L928" s="25"/>
    </row>
    <row r="929" spans="12:12" ht="12.75" x14ac:dyDescent="0.35">
      <c r="L929" s="25"/>
    </row>
    <row r="930" spans="12:12" ht="12.75" x14ac:dyDescent="0.35">
      <c r="L930" s="25"/>
    </row>
    <row r="931" spans="12:12" ht="12.75" x14ac:dyDescent="0.35">
      <c r="L931" s="25"/>
    </row>
    <row r="932" spans="12:12" ht="12.75" x14ac:dyDescent="0.35">
      <c r="L932" s="25"/>
    </row>
    <row r="933" spans="12:12" ht="12.75" x14ac:dyDescent="0.35">
      <c r="L933" s="25"/>
    </row>
    <row r="934" spans="12:12" ht="12.75" x14ac:dyDescent="0.35">
      <c r="L934" s="25"/>
    </row>
    <row r="935" spans="12:12" ht="12.75" x14ac:dyDescent="0.35">
      <c r="L935" s="25"/>
    </row>
    <row r="936" spans="12:12" ht="12.75" x14ac:dyDescent="0.35">
      <c r="L936" s="25"/>
    </row>
    <row r="937" spans="12:12" ht="12.75" x14ac:dyDescent="0.35">
      <c r="L937" s="25"/>
    </row>
    <row r="938" spans="12:12" ht="12.75" x14ac:dyDescent="0.35">
      <c r="L938" s="25"/>
    </row>
    <row r="939" spans="12:12" ht="12.75" x14ac:dyDescent="0.35">
      <c r="L939" s="25"/>
    </row>
    <row r="940" spans="12:12" ht="12.75" x14ac:dyDescent="0.35">
      <c r="L940" s="25"/>
    </row>
    <row r="941" spans="12:12" ht="12.75" x14ac:dyDescent="0.35">
      <c r="L941" s="25"/>
    </row>
    <row r="942" spans="12:12" ht="12.75" x14ac:dyDescent="0.35">
      <c r="L942" s="25"/>
    </row>
    <row r="943" spans="12:12" ht="12.75" x14ac:dyDescent="0.35">
      <c r="L943" s="25"/>
    </row>
    <row r="944" spans="12:12" ht="12.75" x14ac:dyDescent="0.35">
      <c r="L944" s="25"/>
    </row>
    <row r="945" spans="12:12" ht="12.75" x14ac:dyDescent="0.35">
      <c r="L945" s="25"/>
    </row>
    <row r="946" spans="12:12" ht="12.75" x14ac:dyDescent="0.35">
      <c r="L946" s="25"/>
    </row>
    <row r="947" spans="12:12" ht="12.75" x14ac:dyDescent="0.35">
      <c r="L947" s="25"/>
    </row>
    <row r="948" spans="12:12" ht="12.75" x14ac:dyDescent="0.35">
      <c r="L948" s="25"/>
    </row>
    <row r="949" spans="12:12" ht="12.75" x14ac:dyDescent="0.35">
      <c r="L949" s="25"/>
    </row>
    <row r="950" spans="12:12" ht="12.75" x14ac:dyDescent="0.35">
      <c r="L950" s="25"/>
    </row>
    <row r="951" spans="12:12" ht="12.75" x14ac:dyDescent="0.35">
      <c r="L951" s="25"/>
    </row>
    <row r="952" spans="12:12" ht="12.75" x14ac:dyDescent="0.35">
      <c r="L952" s="25"/>
    </row>
    <row r="953" spans="12:12" ht="12.75" x14ac:dyDescent="0.35">
      <c r="L953" s="25"/>
    </row>
    <row r="954" spans="12:12" ht="12.75" x14ac:dyDescent="0.35">
      <c r="L954" s="25"/>
    </row>
    <row r="955" spans="12:12" ht="12.75" x14ac:dyDescent="0.35">
      <c r="L955" s="25"/>
    </row>
    <row r="956" spans="12:12" ht="12.75" x14ac:dyDescent="0.35">
      <c r="L956" s="25"/>
    </row>
    <row r="957" spans="12:12" ht="12.75" x14ac:dyDescent="0.35">
      <c r="L957" s="25"/>
    </row>
    <row r="958" spans="12:12" ht="12.75" x14ac:dyDescent="0.35">
      <c r="L958" s="25"/>
    </row>
    <row r="959" spans="12:12" ht="12.75" x14ac:dyDescent="0.35">
      <c r="L959" s="25"/>
    </row>
    <row r="960" spans="12:12" ht="12.75" x14ac:dyDescent="0.35">
      <c r="L960" s="25"/>
    </row>
    <row r="961" spans="12:12" ht="12.75" x14ac:dyDescent="0.35">
      <c r="L961" s="25"/>
    </row>
    <row r="962" spans="12:12" ht="12.75" x14ac:dyDescent="0.35">
      <c r="L962" s="25"/>
    </row>
    <row r="963" spans="12:12" ht="12.75" x14ac:dyDescent="0.35">
      <c r="L963" s="25"/>
    </row>
    <row r="964" spans="12:12" ht="12.75" x14ac:dyDescent="0.35">
      <c r="L964" s="25"/>
    </row>
    <row r="965" spans="12:12" ht="12.75" x14ac:dyDescent="0.35">
      <c r="L965" s="25"/>
    </row>
    <row r="966" spans="12:12" ht="12.75" x14ac:dyDescent="0.35">
      <c r="L966" s="25"/>
    </row>
    <row r="967" spans="12:12" ht="12.75" x14ac:dyDescent="0.35">
      <c r="L967" s="25"/>
    </row>
    <row r="968" spans="12:12" ht="12.75" x14ac:dyDescent="0.35">
      <c r="L968" s="25"/>
    </row>
    <row r="969" spans="12:12" ht="12.75" x14ac:dyDescent="0.35">
      <c r="L969" s="25"/>
    </row>
    <row r="970" spans="12:12" ht="12.75" x14ac:dyDescent="0.35">
      <c r="L970" s="25"/>
    </row>
    <row r="971" spans="12:12" ht="12.75" x14ac:dyDescent="0.35">
      <c r="L971" s="25"/>
    </row>
    <row r="972" spans="12:12" ht="12.75" x14ac:dyDescent="0.35">
      <c r="L972" s="25"/>
    </row>
    <row r="973" spans="12:12" ht="12.75" x14ac:dyDescent="0.35">
      <c r="L973" s="25"/>
    </row>
    <row r="974" spans="12:12" ht="12.75" x14ac:dyDescent="0.35">
      <c r="L974" s="25"/>
    </row>
    <row r="975" spans="12:12" ht="12.75" x14ac:dyDescent="0.35">
      <c r="L975" s="25"/>
    </row>
    <row r="976" spans="12:12" ht="12.75" x14ac:dyDescent="0.35">
      <c r="L976" s="25"/>
    </row>
    <row r="977" spans="12:12" ht="12.75" x14ac:dyDescent="0.35">
      <c r="L977" s="25"/>
    </row>
    <row r="978" spans="12:12" ht="12.75" x14ac:dyDescent="0.35">
      <c r="L978" s="25"/>
    </row>
    <row r="979" spans="12:12" ht="12.75" x14ac:dyDescent="0.35">
      <c r="L979" s="25"/>
    </row>
    <row r="980" spans="12:12" ht="12.75" x14ac:dyDescent="0.35">
      <c r="L980" s="25"/>
    </row>
    <row r="981" spans="12:12" ht="12.75" x14ac:dyDescent="0.35">
      <c r="L981" s="25"/>
    </row>
    <row r="982" spans="12:12" ht="12.75" x14ac:dyDescent="0.35">
      <c r="L982" s="25"/>
    </row>
    <row r="983" spans="12:12" ht="12.75" x14ac:dyDescent="0.35">
      <c r="L983" s="25"/>
    </row>
    <row r="984" spans="12:12" ht="12.75" x14ac:dyDescent="0.35">
      <c r="L984" s="25"/>
    </row>
    <row r="985" spans="12:12" ht="12.75" x14ac:dyDescent="0.35">
      <c r="L985" s="25"/>
    </row>
    <row r="986" spans="12:12" ht="12.75" x14ac:dyDescent="0.35">
      <c r="L986" s="25"/>
    </row>
    <row r="987" spans="12:12" ht="12.75" x14ac:dyDescent="0.35">
      <c r="L987" s="25"/>
    </row>
    <row r="988" spans="12:12" ht="12.75" x14ac:dyDescent="0.35">
      <c r="L988" s="25"/>
    </row>
    <row r="989" spans="12:12" ht="12.75" x14ac:dyDescent="0.35">
      <c r="L989" s="25"/>
    </row>
    <row r="990" spans="12:12" ht="12.75" x14ac:dyDescent="0.35">
      <c r="L990" s="25"/>
    </row>
    <row r="991" spans="12:12" ht="12.75" x14ac:dyDescent="0.35">
      <c r="L991" s="25"/>
    </row>
    <row r="992" spans="12:12" ht="12.75" x14ac:dyDescent="0.35">
      <c r="L992" s="25"/>
    </row>
    <row r="993" spans="12:12" ht="12.75" x14ac:dyDescent="0.35">
      <c r="L993" s="25"/>
    </row>
    <row r="994" spans="12:12" ht="12.75" x14ac:dyDescent="0.35">
      <c r="L994" s="25"/>
    </row>
    <row r="995" spans="12:12" ht="12.75" x14ac:dyDescent="0.35">
      <c r="L995" s="25"/>
    </row>
    <row r="996" spans="12:12" ht="12.75" x14ac:dyDescent="0.35">
      <c r="L996" s="25"/>
    </row>
    <row r="997" spans="12:12" ht="12.75" x14ac:dyDescent="0.35">
      <c r="L997" s="25"/>
    </row>
    <row r="998" spans="12:12" ht="12.75" x14ac:dyDescent="0.35">
      <c r="L998" s="25"/>
    </row>
    <row r="999" spans="12:12" ht="12.75" x14ac:dyDescent="0.35">
      <c r="L999" s="25"/>
    </row>
    <row r="1000" spans="12:12" ht="12.75" x14ac:dyDescent="0.35">
      <c r="L1000" s="25"/>
    </row>
    <row r="1001" spans="12:12" ht="12.75" x14ac:dyDescent="0.35">
      <c r="L1001" s="25"/>
    </row>
    <row r="1002" spans="12:12" ht="12.75" x14ac:dyDescent="0.35">
      <c r="L1002" s="25"/>
    </row>
    <row r="1003" spans="12:12" ht="12.75" x14ac:dyDescent="0.35">
      <c r="L1003" s="25"/>
    </row>
    <row r="1004" spans="12:12" ht="12.75" x14ac:dyDescent="0.35">
      <c r="L1004" s="25"/>
    </row>
    <row r="1005" spans="12:12" ht="12.75" x14ac:dyDescent="0.35">
      <c r="L1005" s="25"/>
    </row>
    <row r="1006" spans="12:12" ht="12.75" x14ac:dyDescent="0.35">
      <c r="L1006" s="25"/>
    </row>
    <row r="1007" spans="12:12" ht="12.75" x14ac:dyDescent="0.35">
      <c r="L1007" s="25"/>
    </row>
    <row r="1008" spans="12:12" ht="12.75" x14ac:dyDescent="0.35">
      <c r="L1008" s="25"/>
    </row>
    <row r="1009" spans="12:12" ht="12.75" x14ac:dyDescent="0.35">
      <c r="L1009" s="25"/>
    </row>
    <row r="1010" spans="12:12" ht="12.75" x14ac:dyDescent="0.35">
      <c r="L1010" s="25"/>
    </row>
    <row r="1011" spans="12:12" ht="12.75" x14ac:dyDescent="0.35">
      <c r="L1011" s="25"/>
    </row>
    <row r="1012" spans="12:12" ht="12.75" x14ac:dyDescent="0.35">
      <c r="L1012" s="25"/>
    </row>
    <row r="1013" spans="12:12" ht="12.75" x14ac:dyDescent="0.35">
      <c r="L1013" s="25"/>
    </row>
    <row r="1014" spans="12:12" ht="12.75" x14ac:dyDescent="0.35">
      <c r="L1014" s="25"/>
    </row>
    <row r="1015" spans="12:12" ht="12.75" x14ac:dyDescent="0.35">
      <c r="L1015" s="25"/>
    </row>
    <row r="1016" spans="12:12" ht="12.75" x14ac:dyDescent="0.35">
      <c r="L1016" s="25"/>
    </row>
    <row r="1017" spans="12:12" ht="12.75" x14ac:dyDescent="0.35">
      <c r="L1017" s="25"/>
    </row>
    <row r="1018" spans="12:12" ht="12.75" x14ac:dyDescent="0.35">
      <c r="L1018" s="25"/>
    </row>
    <row r="1019" spans="12:12" ht="12.75" x14ac:dyDescent="0.35">
      <c r="L1019" s="25"/>
    </row>
    <row r="1020" spans="12:12" ht="12.75" x14ac:dyDescent="0.35">
      <c r="L1020" s="25"/>
    </row>
    <row r="1021" spans="12:12" ht="12.75" x14ac:dyDescent="0.35">
      <c r="L1021" s="25"/>
    </row>
    <row r="1022" spans="12:12" ht="12.75" x14ac:dyDescent="0.35">
      <c r="L1022" s="25"/>
    </row>
    <row r="1023" spans="12:12" ht="12.75" x14ac:dyDescent="0.35">
      <c r="L1023" s="25"/>
    </row>
    <row r="1024" spans="12:12" ht="12.75" x14ac:dyDescent="0.35">
      <c r="L1024" s="25"/>
    </row>
    <row r="1025" spans="12:12" ht="12.75" x14ac:dyDescent="0.35">
      <c r="L1025" s="25"/>
    </row>
    <row r="1026" spans="12:12" ht="12.75" x14ac:dyDescent="0.35">
      <c r="L1026" s="25"/>
    </row>
    <row r="1027" spans="12:12" ht="12.75" x14ac:dyDescent="0.35">
      <c r="L1027" s="25"/>
    </row>
    <row r="1028" spans="12:12" ht="12.75" x14ac:dyDescent="0.35">
      <c r="L1028" s="25"/>
    </row>
    <row r="1029" spans="12:12" ht="12.75" x14ac:dyDescent="0.35">
      <c r="L1029" s="25"/>
    </row>
    <row r="1030" spans="12:12" ht="12.75" x14ac:dyDescent="0.35">
      <c r="L1030" s="25"/>
    </row>
    <row r="1031" spans="12:12" ht="12.75" x14ac:dyDescent="0.35">
      <c r="L1031" s="25"/>
    </row>
    <row r="1032" spans="12:12" ht="12.75" x14ac:dyDescent="0.35">
      <c r="L1032" s="25"/>
    </row>
    <row r="1033" spans="12:12" ht="12.75" x14ac:dyDescent="0.35">
      <c r="L1033" s="25"/>
    </row>
    <row r="1034" spans="12:12" ht="12.75" x14ac:dyDescent="0.35">
      <c r="L1034" s="25"/>
    </row>
    <row r="1035" spans="12:12" ht="12.75" x14ac:dyDescent="0.35">
      <c r="L1035" s="25"/>
    </row>
    <row r="1036" spans="12:12" ht="12.75" x14ac:dyDescent="0.35">
      <c r="L1036" s="25"/>
    </row>
    <row r="1037" spans="12:12" ht="12.75" x14ac:dyDescent="0.35">
      <c r="L1037" s="25"/>
    </row>
    <row r="1038" spans="12:12" ht="12.75" x14ac:dyDescent="0.35">
      <c r="L1038" s="25"/>
    </row>
    <row r="1039" spans="12:12" ht="12.75" x14ac:dyDescent="0.35">
      <c r="L1039" s="25"/>
    </row>
    <row r="1040" spans="12:12" ht="12.75" x14ac:dyDescent="0.35">
      <c r="L1040" s="25"/>
    </row>
    <row r="1041" spans="12:12" ht="12.75" x14ac:dyDescent="0.35">
      <c r="L1041" s="25"/>
    </row>
    <row r="1042" spans="12:12" ht="12.75" x14ac:dyDescent="0.35">
      <c r="L1042" s="25"/>
    </row>
    <row r="1043" spans="12:12" ht="12.75" x14ac:dyDescent="0.35">
      <c r="L1043" s="25"/>
    </row>
    <row r="1044" spans="12:12" ht="12.75" x14ac:dyDescent="0.35">
      <c r="L1044" s="25"/>
    </row>
    <row r="1045" spans="12:12" ht="12.75" x14ac:dyDescent="0.35">
      <c r="L1045" s="25"/>
    </row>
    <row r="1046" spans="12:12" ht="12.75" x14ac:dyDescent="0.35">
      <c r="L1046" s="25"/>
    </row>
    <row r="1047" spans="12:12" ht="12.75" x14ac:dyDescent="0.35">
      <c r="L1047" s="25"/>
    </row>
    <row r="1048" spans="12:12" ht="12.75" x14ac:dyDescent="0.35">
      <c r="L1048" s="25"/>
    </row>
    <row r="1049" spans="12:12" ht="12.75" x14ac:dyDescent="0.35">
      <c r="L1049" s="25"/>
    </row>
    <row r="1050" spans="12:12" ht="12.75" x14ac:dyDescent="0.35">
      <c r="L1050" s="25"/>
    </row>
    <row r="1051" spans="12:12" ht="12.75" x14ac:dyDescent="0.35">
      <c r="L1051" s="25"/>
    </row>
    <row r="1052" spans="12:12" ht="12.75" x14ac:dyDescent="0.35">
      <c r="L1052" s="25"/>
    </row>
    <row r="1053" spans="12:12" ht="12.75" x14ac:dyDescent="0.35">
      <c r="L1053" s="25"/>
    </row>
    <row r="1054" spans="12:12" ht="12.75" x14ac:dyDescent="0.35">
      <c r="L1054" s="25"/>
    </row>
    <row r="1055" spans="12:12" ht="12.75" x14ac:dyDescent="0.35">
      <c r="L1055" s="25"/>
    </row>
    <row r="1056" spans="12:12" ht="12.75" x14ac:dyDescent="0.35">
      <c r="L1056" s="25"/>
    </row>
    <row r="1057" spans="12:12" ht="12.75" x14ac:dyDescent="0.35">
      <c r="L1057" s="25"/>
    </row>
    <row r="1058" spans="12:12" ht="12.75" x14ac:dyDescent="0.35">
      <c r="L1058" s="25"/>
    </row>
    <row r="1059" spans="12:12" ht="12.75" x14ac:dyDescent="0.35">
      <c r="L1059" s="25"/>
    </row>
    <row r="1060" spans="12:12" ht="12.75" x14ac:dyDescent="0.35">
      <c r="L1060" s="25"/>
    </row>
    <row r="1061" spans="12:12" ht="12.75" x14ac:dyDescent="0.35">
      <c r="L1061" s="25"/>
    </row>
    <row r="1062" spans="12:12" ht="12.75" x14ac:dyDescent="0.35">
      <c r="L1062" s="25"/>
    </row>
    <row r="1063" spans="12:12" ht="12.75" x14ac:dyDescent="0.35">
      <c r="L1063" s="25"/>
    </row>
    <row r="1064" spans="12:12" ht="12.75" x14ac:dyDescent="0.35">
      <c r="L1064" s="25"/>
    </row>
    <row r="1065" spans="12:12" ht="12.75" x14ac:dyDescent="0.35">
      <c r="L1065" s="25"/>
    </row>
    <row r="1066" spans="12:12" ht="12.75" x14ac:dyDescent="0.35">
      <c r="L1066" s="25"/>
    </row>
    <row r="1067" spans="12:12" ht="12.75" x14ac:dyDescent="0.35">
      <c r="L1067" s="25"/>
    </row>
    <row r="1068" spans="12:12" ht="12.75" x14ac:dyDescent="0.35">
      <c r="L1068" s="25"/>
    </row>
    <row r="1069" spans="12:12" ht="12.75" x14ac:dyDescent="0.35">
      <c r="L1069" s="25"/>
    </row>
    <row r="1070" spans="12:12" ht="12.75" x14ac:dyDescent="0.35">
      <c r="L1070" s="25"/>
    </row>
    <row r="1071" spans="12:12" ht="12.75" x14ac:dyDescent="0.35">
      <c r="L1071" s="25"/>
    </row>
    <row r="1072" spans="12:12" ht="12.75" x14ac:dyDescent="0.35">
      <c r="L1072" s="25"/>
    </row>
    <row r="1073" spans="12:12" ht="12.75" x14ac:dyDescent="0.35">
      <c r="L1073" s="25"/>
    </row>
    <row r="1074" spans="12:12" ht="12.75" x14ac:dyDescent="0.35">
      <c r="L1074" s="25"/>
    </row>
    <row r="1075" spans="12:12" ht="12.75" x14ac:dyDescent="0.35">
      <c r="L1075" s="25"/>
    </row>
    <row r="1076" spans="12:12" ht="12.75" x14ac:dyDescent="0.35">
      <c r="L1076" s="25"/>
    </row>
    <row r="1077" spans="12:12" ht="12.75" x14ac:dyDescent="0.35">
      <c r="L1077" s="25"/>
    </row>
    <row r="1078" spans="12:12" ht="12.75" x14ac:dyDescent="0.35">
      <c r="L1078" s="25"/>
    </row>
    <row r="1079" spans="12:12" ht="12.75" x14ac:dyDescent="0.35">
      <c r="L1079" s="25"/>
    </row>
    <row r="1080" spans="12:12" ht="12.75" x14ac:dyDescent="0.35">
      <c r="L1080" s="25"/>
    </row>
    <row r="1081" spans="12:12" ht="12.75" x14ac:dyDescent="0.35">
      <c r="L1081" s="25"/>
    </row>
    <row r="1082" spans="12:12" ht="12.75" x14ac:dyDescent="0.35">
      <c r="L1082" s="25"/>
    </row>
    <row r="1083" spans="12:12" ht="12.75" x14ac:dyDescent="0.35">
      <c r="L1083" s="25"/>
    </row>
    <row r="1084" spans="12:12" ht="12.75" x14ac:dyDescent="0.35">
      <c r="L1084" s="25"/>
    </row>
    <row r="1085" spans="12:12" ht="12.75" x14ac:dyDescent="0.35">
      <c r="L1085" s="25"/>
    </row>
    <row r="1086" spans="12:12" ht="12.75" x14ac:dyDescent="0.35">
      <c r="L1086" s="25"/>
    </row>
    <row r="1087" spans="12:12" ht="12.75" x14ac:dyDescent="0.35">
      <c r="L1087" s="25"/>
    </row>
    <row r="1088" spans="12:12" ht="12.75" x14ac:dyDescent="0.35">
      <c r="L1088" s="25"/>
    </row>
    <row r="1089" spans="12:12" ht="12.75" x14ac:dyDescent="0.35">
      <c r="L1089" s="25"/>
    </row>
    <row r="1090" spans="12:12" ht="12.75" x14ac:dyDescent="0.35">
      <c r="L1090" s="25"/>
    </row>
    <row r="1091" spans="12:12" ht="12.75" x14ac:dyDescent="0.35">
      <c r="L1091" s="25"/>
    </row>
    <row r="1092" spans="12:12" ht="12.75" x14ac:dyDescent="0.35">
      <c r="L1092" s="25"/>
    </row>
    <row r="1093" spans="12:12" ht="12.75" x14ac:dyDescent="0.35">
      <c r="L1093" s="25"/>
    </row>
    <row r="1094" spans="12:12" ht="12.75" x14ac:dyDescent="0.35">
      <c r="L1094" s="25"/>
    </row>
    <row r="1095" spans="12:12" ht="12.75" x14ac:dyDescent="0.35">
      <c r="L1095" s="25"/>
    </row>
    <row r="1096" spans="12:12" ht="12.75" x14ac:dyDescent="0.35">
      <c r="L1096" s="25"/>
    </row>
    <row r="1097" spans="12:12" ht="12.75" x14ac:dyDescent="0.35">
      <c r="L1097" s="25"/>
    </row>
    <row r="1098" spans="12:12" ht="12.75" x14ac:dyDescent="0.35">
      <c r="L1098" s="25"/>
    </row>
    <row r="1099" spans="12:12" ht="12.75" x14ac:dyDescent="0.35">
      <c r="L1099" s="25"/>
    </row>
    <row r="1100" spans="12:12" ht="12.75" x14ac:dyDescent="0.35">
      <c r="L1100"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outlinePr summaryBelow="0" summaryRight="0"/>
  </sheetPr>
  <dimension ref="A1:AA21"/>
  <sheetViews>
    <sheetView zoomScale="85" zoomScaleNormal="85" workbookViewId="0">
      <pane xSplit="3" ySplit="1" topLeftCell="D12" activePane="bottomRight" state="frozen"/>
      <selection pane="topRight" activeCell="D1" sqref="D1"/>
      <selection pane="bottomLeft" activeCell="A2" sqref="A2"/>
      <selection pane="bottomRight" activeCell="E21" sqref="E21"/>
    </sheetView>
  </sheetViews>
  <sheetFormatPr defaultColWidth="12.59765625" defaultRowHeight="15.75" customHeight="1" x14ac:dyDescent="0.35"/>
  <cols>
    <col min="1" max="1" width="6.73046875" customWidth="1"/>
    <col min="2" max="2" width="7.73046875" customWidth="1"/>
    <col min="3" max="3" width="16.33203125" bestFit="1" customWidth="1"/>
    <col min="4" max="4" width="10.1328125" style="64" customWidth="1"/>
    <col min="5" max="5" width="57.46484375" customWidth="1"/>
    <col min="11" max="18" width="7.59765625" customWidth="1"/>
  </cols>
  <sheetData>
    <row r="1" spans="1:27" ht="13.15" x14ac:dyDescent="0.4">
      <c r="A1" s="3" t="s">
        <v>7</v>
      </c>
      <c r="B1" s="3" t="s">
        <v>511</v>
      </c>
      <c r="C1" s="3" t="s">
        <v>8</v>
      </c>
      <c r="D1" s="70" t="s">
        <v>754</v>
      </c>
      <c r="E1" s="4" t="s">
        <v>10</v>
      </c>
      <c r="F1" s="3" t="s">
        <v>11</v>
      </c>
      <c r="G1" s="3" t="s">
        <v>12</v>
      </c>
      <c r="H1" s="3" t="s">
        <v>13</v>
      </c>
      <c r="I1" s="3" t="s">
        <v>512</v>
      </c>
      <c r="J1" s="3" t="s">
        <v>15</v>
      </c>
      <c r="K1" s="3" t="s">
        <v>17</v>
      </c>
      <c r="L1" s="3" t="s">
        <v>18</v>
      </c>
      <c r="M1" s="3" t="s">
        <v>19</v>
      </c>
      <c r="N1" s="3" t="s">
        <v>20</v>
      </c>
      <c r="O1" s="3" t="s">
        <v>21</v>
      </c>
      <c r="P1" s="6" t="s">
        <v>513</v>
      </c>
      <c r="Q1" s="3" t="s">
        <v>4</v>
      </c>
      <c r="R1" s="3" t="s">
        <v>514</v>
      </c>
      <c r="S1" s="3" t="s">
        <v>515</v>
      </c>
      <c r="T1" s="3" t="s">
        <v>516</v>
      </c>
      <c r="U1" s="3" t="s">
        <v>25</v>
      </c>
      <c r="V1" s="3" t="s">
        <v>517</v>
      </c>
      <c r="W1" s="7" t="s">
        <v>27</v>
      </c>
      <c r="X1" s="25"/>
      <c r="Y1" s="25"/>
      <c r="Z1" s="25"/>
      <c r="AA1" s="25"/>
    </row>
    <row r="2" spans="1:27" ht="89.25" x14ac:dyDescent="0.35">
      <c r="A2" s="22" t="s">
        <v>33</v>
      </c>
      <c r="B2" s="22" t="s">
        <v>29</v>
      </c>
      <c r="C2" s="22" t="s">
        <v>518</v>
      </c>
      <c r="D2" s="64">
        <v>2800000</v>
      </c>
      <c r="E2" s="22" t="s">
        <v>519</v>
      </c>
      <c r="F2" s="24" t="s">
        <v>66</v>
      </c>
      <c r="G2" s="22" t="s">
        <v>520</v>
      </c>
      <c r="H2" s="22" t="s">
        <v>521</v>
      </c>
      <c r="I2" s="30" t="s">
        <v>522</v>
      </c>
      <c r="J2" s="22" t="s">
        <v>523</v>
      </c>
      <c r="K2" s="22">
        <v>9.5</v>
      </c>
      <c r="L2" s="22">
        <v>9</v>
      </c>
      <c r="M2" s="22">
        <v>9</v>
      </c>
      <c r="N2" s="22">
        <v>7.5</v>
      </c>
      <c r="O2" s="22">
        <v>9</v>
      </c>
      <c r="P2" s="22">
        <v>9</v>
      </c>
      <c r="Q2" s="22">
        <v>9</v>
      </c>
      <c r="R2" s="11">
        <f t="shared" ref="R2:R4" si="0">SUM(K2:Q2)/7</f>
        <v>8.8571428571428577</v>
      </c>
      <c r="S2" s="22"/>
      <c r="T2" s="22"/>
      <c r="U2" s="22" t="s">
        <v>36</v>
      </c>
      <c r="V2" s="22" t="s">
        <v>293</v>
      </c>
      <c r="W2" s="25" t="s">
        <v>48</v>
      </c>
      <c r="X2" s="20"/>
      <c r="Y2" s="20"/>
      <c r="Z2" s="20"/>
      <c r="AA2" s="20"/>
    </row>
    <row r="3" spans="1:27" ht="38.25" x14ac:dyDescent="0.35">
      <c r="A3" s="22" t="s">
        <v>160</v>
      </c>
      <c r="B3" s="22" t="s">
        <v>70</v>
      </c>
      <c r="C3" s="22" t="s">
        <v>524</v>
      </c>
      <c r="D3" s="64">
        <v>2799000</v>
      </c>
      <c r="E3" t="s">
        <v>728</v>
      </c>
      <c r="F3" s="24" t="s">
        <v>60</v>
      </c>
      <c r="G3" s="22" t="s">
        <v>525</v>
      </c>
      <c r="H3" s="22" t="s">
        <v>521</v>
      </c>
      <c r="I3" s="30" t="s">
        <v>522</v>
      </c>
      <c r="J3" s="22" t="s">
        <v>38</v>
      </c>
      <c r="K3" s="22">
        <v>8</v>
      </c>
      <c r="L3" s="22">
        <v>8.5</v>
      </c>
      <c r="M3" s="22">
        <v>8</v>
      </c>
      <c r="N3" s="22">
        <v>6.5</v>
      </c>
      <c r="O3" s="22">
        <v>8</v>
      </c>
      <c r="P3" s="22">
        <v>7.5</v>
      </c>
      <c r="Q3" s="22">
        <v>8</v>
      </c>
      <c r="R3" s="11">
        <f t="shared" si="0"/>
        <v>7.7857142857142856</v>
      </c>
      <c r="S3" t="s">
        <v>70</v>
      </c>
      <c r="T3" s="22"/>
      <c r="U3" s="22" t="s">
        <v>526</v>
      </c>
      <c r="V3" s="22"/>
      <c r="W3" s="22" t="s">
        <v>48</v>
      </c>
      <c r="X3" s="20"/>
      <c r="Y3" s="20"/>
      <c r="Z3" s="20"/>
      <c r="AA3" s="20"/>
    </row>
    <row r="4" spans="1:27" ht="51" x14ac:dyDescent="0.35">
      <c r="A4" s="22" t="s">
        <v>33</v>
      </c>
      <c r="B4" s="22" t="s">
        <v>40</v>
      </c>
      <c r="C4" s="22" t="s">
        <v>527</v>
      </c>
      <c r="D4" s="64">
        <v>1199000</v>
      </c>
      <c r="E4" t="s">
        <v>729</v>
      </c>
      <c r="F4" s="24" t="s">
        <v>528</v>
      </c>
      <c r="G4" s="22" t="s">
        <v>529</v>
      </c>
      <c r="H4" s="22" t="s">
        <v>521</v>
      </c>
      <c r="I4" s="30" t="s">
        <v>522</v>
      </c>
      <c r="J4" s="22" t="s">
        <v>523</v>
      </c>
      <c r="K4" s="22">
        <v>9</v>
      </c>
      <c r="L4" s="22">
        <v>8.5</v>
      </c>
      <c r="M4" s="22">
        <v>8</v>
      </c>
      <c r="N4" s="22">
        <v>8</v>
      </c>
      <c r="O4" s="22">
        <v>8</v>
      </c>
      <c r="P4" s="22">
        <v>7</v>
      </c>
      <c r="Q4" s="22">
        <v>8</v>
      </c>
      <c r="R4" s="11">
        <f t="shared" si="0"/>
        <v>8.0714285714285712</v>
      </c>
      <c r="S4" t="s">
        <v>40</v>
      </c>
      <c r="T4" s="22" t="s">
        <v>48</v>
      </c>
      <c r="U4" s="22" t="s">
        <v>36</v>
      </c>
      <c r="V4" s="22" t="s">
        <v>49</v>
      </c>
      <c r="W4" s="25" t="s">
        <v>50</v>
      </c>
      <c r="X4" s="20"/>
      <c r="Y4" s="20"/>
      <c r="Z4" s="20"/>
      <c r="AA4" s="20"/>
    </row>
    <row r="5" spans="1:27" ht="63.75" x14ac:dyDescent="0.35">
      <c r="A5" s="22" t="s">
        <v>77</v>
      </c>
      <c r="B5" s="22" t="s">
        <v>40</v>
      </c>
      <c r="C5" s="22" t="s">
        <v>530</v>
      </c>
      <c r="D5" s="64">
        <v>1400000</v>
      </c>
      <c r="E5" s="22" t="s">
        <v>531</v>
      </c>
      <c r="F5" s="24" t="s">
        <v>60</v>
      </c>
      <c r="G5" s="22" t="s">
        <v>532</v>
      </c>
      <c r="H5" s="22" t="s">
        <v>38</v>
      </c>
      <c r="I5" s="30"/>
      <c r="J5" s="22"/>
      <c r="K5" s="22"/>
      <c r="L5" s="22"/>
      <c r="M5" s="22"/>
      <c r="N5" s="22"/>
      <c r="O5" s="22"/>
      <c r="P5" s="22"/>
      <c r="Q5" s="22"/>
      <c r="R5" s="11"/>
      <c r="S5" s="22"/>
      <c r="T5" s="22"/>
      <c r="U5" s="22"/>
      <c r="V5" s="22"/>
      <c r="W5" s="25"/>
      <c r="X5" s="20"/>
      <c r="Y5" s="20"/>
      <c r="Z5" s="20"/>
      <c r="AA5" s="20"/>
    </row>
    <row r="6" spans="1:27" ht="89.25" x14ac:dyDescent="0.35">
      <c r="A6" s="22" t="s">
        <v>77</v>
      </c>
      <c r="B6" s="22" t="s">
        <v>40</v>
      </c>
      <c r="C6" s="22" t="s">
        <v>533</v>
      </c>
      <c r="D6" s="64">
        <v>1900000</v>
      </c>
      <c r="E6" s="22" t="s">
        <v>534</v>
      </c>
      <c r="F6" s="24" t="s">
        <v>31</v>
      </c>
      <c r="G6" s="22" t="s">
        <v>535</v>
      </c>
      <c r="H6" s="22" t="s">
        <v>521</v>
      </c>
      <c r="I6" s="30" t="s">
        <v>522</v>
      </c>
      <c r="J6" s="22" t="s">
        <v>523</v>
      </c>
      <c r="K6" s="22">
        <v>8</v>
      </c>
      <c r="L6" s="22">
        <v>7.8</v>
      </c>
      <c r="M6" s="22">
        <v>8</v>
      </c>
      <c r="N6" s="22">
        <v>8</v>
      </c>
      <c r="O6" s="22">
        <v>8</v>
      </c>
      <c r="P6" s="22">
        <v>7</v>
      </c>
      <c r="Q6" s="22">
        <v>8</v>
      </c>
      <c r="R6" s="11">
        <f t="shared" ref="R6:R21" si="1">SUM(K6:Q6)/7</f>
        <v>7.8285714285714283</v>
      </c>
      <c r="S6" s="22" t="s">
        <v>33</v>
      </c>
      <c r="T6" s="22" t="s">
        <v>536</v>
      </c>
      <c r="U6" s="22" t="s">
        <v>537</v>
      </c>
      <c r="V6" s="22" t="s">
        <v>37</v>
      </c>
      <c r="W6" s="25" t="s">
        <v>538</v>
      </c>
      <c r="X6" s="20"/>
      <c r="Y6" s="20"/>
      <c r="Z6" s="20"/>
      <c r="AA6" s="20"/>
    </row>
    <row r="7" spans="1:27" ht="51" x14ac:dyDescent="0.35">
      <c r="A7" s="22" t="s">
        <v>40</v>
      </c>
      <c r="B7" s="22" t="s">
        <v>160</v>
      </c>
      <c r="C7" s="22" t="s">
        <v>539</v>
      </c>
      <c r="D7" s="64">
        <v>282000</v>
      </c>
      <c r="E7" s="59" t="s">
        <v>733</v>
      </c>
      <c r="F7" s="24" t="s">
        <v>60</v>
      </c>
      <c r="G7" s="22" t="s">
        <v>540</v>
      </c>
      <c r="H7" s="22" t="s">
        <v>38</v>
      </c>
      <c r="I7" s="30" t="s">
        <v>38</v>
      </c>
      <c r="J7" s="22" t="s">
        <v>523</v>
      </c>
      <c r="K7" s="22">
        <v>7.6</v>
      </c>
      <c r="L7" s="22">
        <v>6.5</v>
      </c>
      <c r="M7" s="22">
        <v>7</v>
      </c>
      <c r="N7" s="22">
        <v>7</v>
      </c>
      <c r="O7" s="22">
        <v>7</v>
      </c>
      <c r="P7" s="22">
        <v>6</v>
      </c>
      <c r="Q7" s="22">
        <v>6.7</v>
      </c>
      <c r="R7" s="11">
        <f t="shared" si="1"/>
        <v>6.8285714285714292</v>
      </c>
      <c r="S7" s="22" t="s">
        <v>59</v>
      </c>
      <c r="T7" s="22" t="s">
        <v>38</v>
      </c>
      <c r="U7" s="22" t="s">
        <v>537</v>
      </c>
      <c r="V7" s="22"/>
      <c r="W7" s="25"/>
      <c r="X7" s="20"/>
      <c r="Y7" s="20"/>
      <c r="Z7" s="20"/>
      <c r="AA7" s="20"/>
    </row>
    <row r="8" spans="1:27" ht="69.75" customHeight="1" x14ac:dyDescent="0.35">
      <c r="A8" s="22" t="s">
        <v>40</v>
      </c>
      <c r="B8" s="22" t="s">
        <v>160</v>
      </c>
      <c r="C8" s="22" t="s">
        <v>541</v>
      </c>
      <c r="D8" s="64">
        <v>170000</v>
      </c>
      <c r="E8" s="59" t="s">
        <v>752</v>
      </c>
      <c r="F8" s="24" t="s">
        <v>60</v>
      </c>
      <c r="G8" s="22" t="s">
        <v>542</v>
      </c>
      <c r="H8" s="22" t="s">
        <v>38</v>
      </c>
      <c r="I8" s="30" t="s">
        <v>38</v>
      </c>
      <c r="J8" t="s">
        <v>730</v>
      </c>
      <c r="K8" s="22">
        <v>7</v>
      </c>
      <c r="L8" s="22">
        <v>6.5</v>
      </c>
      <c r="M8" s="22">
        <v>7</v>
      </c>
      <c r="N8" s="22">
        <v>6.5</v>
      </c>
      <c r="O8" s="22">
        <v>6.5</v>
      </c>
      <c r="P8" s="22">
        <v>6</v>
      </c>
      <c r="Q8" s="22">
        <v>6.5</v>
      </c>
      <c r="R8" s="11">
        <f t="shared" si="1"/>
        <v>6.5714285714285712</v>
      </c>
      <c r="S8" t="s">
        <v>167</v>
      </c>
      <c r="T8" s="22" t="s">
        <v>48</v>
      </c>
      <c r="U8" s="22" t="s">
        <v>129</v>
      </c>
      <c r="V8" s="22" t="s">
        <v>265</v>
      </c>
      <c r="W8" s="25" t="s">
        <v>55</v>
      </c>
      <c r="X8" s="20"/>
      <c r="Y8" s="20"/>
      <c r="Z8" s="20"/>
      <c r="AA8" s="20"/>
    </row>
    <row r="9" spans="1:27" ht="38.25" x14ac:dyDescent="0.35">
      <c r="A9" s="22" t="s">
        <v>160</v>
      </c>
      <c r="B9" s="22" t="s">
        <v>59</v>
      </c>
      <c r="C9" s="22" t="s">
        <v>543</v>
      </c>
      <c r="D9" s="64">
        <v>879000</v>
      </c>
      <c r="E9" t="s">
        <v>731</v>
      </c>
      <c r="F9" s="24" t="s">
        <v>544</v>
      </c>
      <c r="G9" s="22" t="s">
        <v>535</v>
      </c>
      <c r="H9" s="22" t="s">
        <v>521</v>
      </c>
      <c r="I9" s="30" t="s">
        <v>522</v>
      </c>
      <c r="J9" s="22" t="s">
        <v>545</v>
      </c>
      <c r="K9" s="22">
        <v>7</v>
      </c>
      <c r="L9" s="22">
        <v>7</v>
      </c>
      <c r="M9" s="22">
        <v>7</v>
      </c>
      <c r="N9" s="22">
        <v>6.5</v>
      </c>
      <c r="O9" s="22">
        <v>7</v>
      </c>
      <c r="P9" s="22">
        <v>7.3</v>
      </c>
      <c r="Q9" s="22">
        <v>7</v>
      </c>
      <c r="R9" s="11">
        <f t="shared" si="1"/>
        <v>6.9714285714285706</v>
      </c>
      <c r="S9" s="22" t="s">
        <v>59</v>
      </c>
      <c r="T9" s="22" t="s">
        <v>48</v>
      </c>
      <c r="U9" s="22" t="s">
        <v>36</v>
      </c>
      <c r="V9" s="22" t="s">
        <v>546</v>
      </c>
      <c r="W9" s="25" t="s">
        <v>50</v>
      </c>
      <c r="X9" s="20"/>
      <c r="Y9" s="20"/>
      <c r="Z9" s="20"/>
      <c r="AA9" s="20"/>
    </row>
    <row r="10" spans="1:27" ht="89.25" x14ac:dyDescent="0.35">
      <c r="A10" s="22" t="s">
        <v>33</v>
      </c>
      <c r="B10" s="22" t="s">
        <v>170</v>
      </c>
      <c r="C10" s="22" t="s">
        <v>547</v>
      </c>
      <c r="D10" s="64">
        <v>334000</v>
      </c>
      <c r="E10" s="22" t="s">
        <v>548</v>
      </c>
      <c r="F10" s="24" t="s">
        <v>60</v>
      </c>
      <c r="G10" s="22" t="s">
        <v>549</v>
      </c>
      <c r="H10" s="22" t="s">
        <v>38</v>
      </c>
      <c r="I10" s="30" t="s">
        <v>38</v>
      </c>
      <c r="J10" s="22" t="s">
        <v>38</v>
      </c>
      <c r="K10" s="22">
        <v>6.5</v>
      </c>
      <c r="L10" s="22">
        <v>6.5</v>
      </c>
      <c r="M10" s="22">
        <v>7</v>
      </c>
      <c r="N10" s="22">
        <v>8</v>
      </c>
      <c r="O10" s="22">
        <v>8</v>
      </c>
      <c r="P10" s="22">
        <v>7</v>
      </c>
      <c r="Q10" s="22">
        <v>6.5</v>
      </c>
      <c r="R10" s="11">
        <f t="shared" si="1"/>
        <v>7.0714285714285712</v>
      </c>
      <c r="S10" s="22" t="s">
        <v>33</v>
      </c>
      <c r="T10" s="22" t="s">
        <v>107</v>
      </c>
      <c r="U10" s="22" t="s">
        <v>117</v>
      </c>
      <c r="V10" s="22" t="s">
        <v>265</v>
      </c>
      <c r="W10" s="25" t="s">
        <v>55</v>
      </c>
      <c r="X10" s="20"/>
      <c r="Y10" s="20"/>
      <c r="Z10" s="20"/>
      <c r="AA10" s="20"/>
    </row>
    <row r="11" spans="1:27" ht="38.25" x14ac:dyDescent="0.35">
      <c r="A11" s="22" t="s">
        <v>59</v>
      </c>
      <c r="B11" s="22" t="s">
        <v>170</v>
      </c>
      <c r="C11" s="22" t="s">
        <v>550</v>
      </c>
      <c r="D11" s="64">
        <v>499000</v>
      </c>
      <c r="E11" s="22" t="s">
        <v>551</v>
      </c>
      <c r="F11" s="24" t="s">
        <v>66</v>
      </c>
      <c r="G11" s="22" t="s">
        <v>32</v>
      </c>
      <c r="H11" s="22" t="s">
        <v>38</v>
      </c>
      <c r="I11" s="30" t="s">
        <v>38</v>
      </c>
      <c r="J11" s="22" t="s">
        <v>523</v>
      </c>
      <c r="K11" s="22">
        <v>7</v>
      </c>
      <c r="L11" s="22">
        <v>7</v>
      </c>
      <c r="M11" s="22">
        <v>6.5</v>
      </c>
      <c r="N11" s="22">
        <v>7</v>
      </c>
      <c r="O11" s="22">
        <v>7</v>
      </c>
      <c r="P11" s="22">
        <v>6</v>
      </c>
      <c r="Q11" s="22">
        <v>6.5</v>
      </c>
      <c r="R11" s="11">
        <f t="shared" si="1"/>
        <v>6.7142857142857144</v>
      </c>
      <c r="S11" s="22" t="s">
        <v>167</v>
      </c>
      <c r="T11" s="22" t="s">
        <v>48</v>
      </c>
      <c r="U11" s="22" t="s">
        <v>93</v>
      </c>
      <c r="V11" s="22" t="s">
        <v>268</v>
      </c>
      <c r="W11" s="25" t="s">
        <v>48</v>
      </c>
      <c r="X11" s="20"/>
      <c r="Y11" s="20"/>
      <c r="Z11" s="20"/>
      <c r="AA11" s="20"/>
    </row>
    <row r="12" spans="1:27" ht="63.75" x14ac:dyDescent="0.35">
      <c r="A12" s="22" t="s">
        <v>167</v>
      </c>
      <c r="B12" s="22" t="s">
        <v>42</v>
      </c>
      <c r="C12" s="22" t="s">
        <v>552</v>
      </c>
      <c r="D12" s="64">
        <v>249000</v>
      </c>
      <c r="E12" s="22" t="s">
        <v>553</v>
      </c>
      <c r="F12" s="24" t="s">
        <v>60</v>
      </c>
      <c r="G12" s="22" t="s">
        <v>554</v>
      </c>
      <c r="H12" s="22" t="s">
        <v>38</v>
      </c>
      <c r="I12" s="30" t="s">
        <v>38</v>
      </c>
      <c r="J12" s="22" t="s">
        <v>38</v>
      </c>
      <c r="K12" s="22">
        <v>6.5</v>
      </c>
      <c r="L12" s="22">
        <v>6.5</v>
      </c>
      <c r="M12" s="22">
        <v>7</v>
      </c>
      <c r="N12" s="22">
        <v>7</v>
      </c>
      <c r="O12" s="22">
        <v>6.5</v>
      </c>
      <c r="P12" s="22">
        <v>6</v>
      </c>
      <c r="Q12" s="22">
        <v>6.5</v>
      </c>
      <c r="R12" s="11">
        <f t="shared" si="1"/>
        <v>6.5714285714285712</v>
      </c>
      <c r="S12" s="22" t="s">
        <v>59</v>
      </c>
      <c r="T12" s="22" t="s">
        <v>38</v>
      </c>
      <c r="U12" s="22" t="s">
        <v>17</v>
      </c>
      <c r="V12" s="22" t="s">
        <v>268</v>
      </c>
      <c r="W12" s="25" t="s">
        <v>38</v>
      </c>
      <c r="X12" s="20"/>
      <c r="Y12" s="20"/>
      <c r="Z12" s="20"/>
      <c r="AA12" s="20"/>
    </row>
    <row r="13" spans="1:27" ht="38.25" x14ac:dyDescent="0.35">
      <c r="A13" s="22" t="s">
        <v>353</v>
      </c>
      <c r="B13" s="22" t="s">
        <v>353</v>
      </c>
      <c r="C13" s="22" t="s">
        <v>555</v>
      </c>
      <c r="D13" s="65" t="s">
        <v>734</v>
      </c>
      <c r="E13" s="22" t="s">
        <v>556</v>
      </c>
      <c r="F13" s="24" t="s">
        <v>53</v>
      </c>
      <c r="G13" s="22" t="s">
        <v>557</v>
      </c>
      <c r="H13" s="22" t="s">
        <v>38</v>
      </c>
      <c r="I13" s="30" t="s">
        <v>38</v>
      </c>
      <c r="J13" t="s">
        <v>732</v>
      </c>
      <c r="K13" s="22">
        <v>6</v>
      </c>
      <c r="L13" s="22">
        <v>6</v>
      </c>
      <c r="M13" s="22">
        <v>7</v>
      </c>
      <c r="N13" s="22">
        <v>7</v>
      </c>
      <c r="O13" s="22">
        <v>7</v>
      </c>
      <c r="P13" s="22">
        <v>6</v>
      </c>
      <c r="Q13" s="22">
        <v>6.5</v>
      </c>
      <c r="R13" s="11">
        <f t="shared" si="1"/>
        <v>6.5</v>
      </c>
      <c r="S13" t="s">
        <v>33</v>
      </c>
      <c r="T13" s="22" t="s">
        <v>38</v>
      </c>
      <c r="U13" s="22" t="s">
        <v>93</v>
      </c>
      <c r="V13" s="22" t="s">
        <v>268</v>
      </c>
      <c r="W13" s="25" t="s">
        <v>38</v>
      </c>
      <c r="X13" s="20"/>
      <c r="Y13" s="20"/>
      <c r="Z13" s="20"/>
      <c r="AA13" s="20"/>
    </row>
    <row r="14" spans="1:27" ht="38.25" x14ac:dyDescent="0.35">
      <c r="A14" s="18" t="s">
        <v>59</v>
      </c>
      <c r="B14" s="18" t="s">
        <v>170</v>
      </c>
      <c r="C14" s="18" t="s">
        <v>558</v>
      </c>
      <c r="D14" s="65" t="s">
        <v>659</v>
      </c>
      <c r="E14" s="18" t="s">
        <v>559</v>
      </c>
      <c r="F14" s="31" t="s">
        <v>60</v>
      </c>
      <c r="G14" s="31" t="s">
        <v>560</v>
      </c>
      <c r="H14" s="18" t="s">
        <v>38</v>
      </c>
      <c r="I14" s="18" t="s">
        <v>38</v>
      </c>
      <c r="J14" s="18" t="s">
        <v>215</v>
      </c>
      <c r="K14" s="18">
        <v>6</v>
      </c>
      <c r="L14" s="18">
        <v>6</v>
      </c>
      <c r="M14" s="18">
        <v>6.5</v>
      </c>
      <c r="N14" s="18">
        <v>6</v>
      </c>
      <c r="O14" s="18">
        <v>6</v>
      </c>
      <c r="P14" s="18">
        <v>6</v>
      </c>
      <c r="Q14" s="18">
        <v>6</v>
      </c>
      <c r="R14" s="54">
        <f t="shared" si="1"/>
        <v>6.0714285714285712</v>
      </c>
      <c r="S14" t="s">
        <v>33</v>
      </c>
      <c r="T14" s="18" t="s">
        <v>48</v>
      </c>
      <c r="U14" s="18" t="s">
        <v>117</v>
      </c>
      <c r="V14" s="18" t="s">
        <v>49</v>
      </c>
      <c r="W14" s="20" t="s">
        <v>38</v>
      </c>
      <c r="X14" s="20"/>
      <c r="Y14" s="20"/>
      <c r="Z14" s="20"/>
      <c r="AA14" s="20"/>
    </row>
    <row r="15" spans="1:27" ht="63.75" x14ac:dyDescent="0.35">
      <c r="A15" s="18" t="s">
        <v>152</v>
      </c>
      <c r="B15" s="18" t="s">
        <v>353</v>
      </c>
      <c r="C15" s="18" t="s">
        <v>561</v>
      </c>
      <c r="D15" s="64">
        <v>467000</v>
      </c>
      <c r="E15" s="18" t="s">
        <v>562</v>
      </c>
      <c r="F15" s="18" t="s">
        <v>60</v>
      </c>
      <c r="G15" s="18" t="s">
        <v>563</v>
      </c>
      <c r="H15" s="18" t="s">
        <v>38</v>
      </c>
      <c r="I15" s="32" t="s">
        <v>38</v>
      </c>
      <c r="J15" s="18" t="s">
        <v>38</v>
      </c>
      <c r="K15" s="18">
        <v>7</v>
      </c>
      <c r="L15" s="18">
        <v>7</v>
      </c>
      <c r="M15" s="18">
        <v>6.5</v>
      </c>
      <c r="N15" s="18">
        <v>6.5</v>
      </c>
      <c r="O15" s="18">
        <v>6.5</v>
      </c>
      <c r="P15" s="18">
        <v>6.5</v>
      </c>
      <c r="Q15" s="18">
        <v>6.5</v>
      </c>
      <c r="R15" s="54">
        <f t="shared" si="1"/>
        <v>6.6428571428571432</v>
      </c>
      <c r="S15" s="18" t="s">
        <v>170</v>
      </c>
      <c r="T15" s="18" t="s">
        <v>38</v>
      </c>
      <c r="U15" s="18" t="s">
        <v>36</v>
      </c>
      <c r="V15" s="18" t="s">
        <v>38</v>
      </c>
      <c r="W15" s="20"/>
      <c r="X15" s="42"/>
      <c r="Y15" s="42"/>
      <c r="Z15" s="42"/>
      <c r="AA15" s="42"/>
    </row>
    <row r="16" spans="1:27" ht="38.25" x14ac:dyDescent="0.35">
      <c r="A16" s="22" t="s">
        <v>42</v>
      </c>
      <c r="B16" s="22" t="s">
        <v>42</v>
      </c>
      <c r="C16" s="22" t="s">
        <v>564</v>
      </c>
      <c r="D16" s="64">
        <v>289000</v>
      </c>
      <c r="E16" s="22" t="s">
        <v>565</v>
      </c>
      <c r="F16" s="24" t="s">
        <v>60</v>
      </c>
      <c r="G16" s="22" t="s">
        <v>566</v>
      </c>
      <c r="H16" s="22" t="s">
        <v>38</v>
      </c>
      <c r="I16" s="30" t="s">
        <v>38</v>
      </c>
      <c r="J16" s="22" t="s">
        <v>48</v>
      </c>
      <c r="K16" s="22">
        <v>4.5</v>
      </c>
      <c r="L16" s="22">
        <v>5</v>
      </c>
      <c r="M16" s="22">
        <v>4.5</v>
      </c>
      <c r="N16" s="22">
        <v>4</v>
      </c>
      <c r="O16" s="22">
        <v>5</v>
      </c>
      <c r="P16" s="22">
        <v>5</v>
      </c>
      <c r="Q16" s="22">
        <v>5</v>
      </c>
      <c r="R16" s="11">
        <f t="shared" si="1"/>
        <v>4.7142857142857144</v>
      </c>
      <c r="S16" t="s">
        <v>277</v>
      </c>
      <c r="T16" s="22"/>
      <c r="U16" s="22" t="s">
        <v>5</v>
      </c>
      <c r="V16" s="22"/>
      <c r="W16" s="25"/>
      <c r="X16" s="20"/>
      <c r="Y16" s="20"/>
      <c r="Z16" s="20"/>
      <c r="AA16" s="20"/>
    </row>
    <row r="17" spans="1:27" ht="38.25" x14ac:dyDescent="0.35">
      <c r="A17" s="40" t="s">
        <v>170</v>
      </c>
      <c r="B17" s="40" t="s">
        <v>170</v>
      </c>
      <c r="C17" s="40" t="s">
        <v>567</v>
      </c>
      <c r="D17" s="65" t="s">
        <v>736</v>
      </c>
      <c r="E17" s="40" t="s">
        <v>568</v>
      </c>
      <c r="F17" s="40" t="s">
        <v>53</v>
      </c>
      <c r="G17" s="40" t="s">
        <v>569</v>
      </c>
      <c r="H17" s="40" t="s">
        <v>38</v>
      </c>
      <c r="I17" s="41" t="s">
        <v>38</v>
      </c>
      <c r="J17" s="40" t="s">
        <v>38</v>
      </c>
      <c r="K17" s="40">
        <v>5.5</v>
      </c>
      <c r="L17" s="40">
        <v>4.5</v>
      </c>
      <c r="M17" s="40">
        <v>6</v>
      </c>
      <c r="N17" s="40">
        <v>6</v>
      </c>
      <c r="O17" s="40">
        <v>6</v>
      </c>
      <c r="P17" s="40">
        <v>5</v>
      </c>
      <c r="Q17" s="40">
        <v>5.5</v>
      </c>
      <c r="R17" s="55">
        <f t="shared" si="1"/>
        <v>5.5</v>
      </c>
      <c r="S17" s="40" t="s">
        <v>170</v>
      </c>
      <c r="T17" s="40" t="s">
        <v>48</v>
      </c>
      <c r="U17" s="40" t="s">
        <v>526</v>
      </c>
      <c r="V17" s="40" t="s">
        <v>38</v>
      </c>
      <c r="W17" s="42"/>
      <c r="X17" s="25"/>
      <c r="Y17" s="25"/>
      <c r="Z17" s="25"/>
      <c r="AA17" s="25"/>
    </row>
    <row r="18" spans="1:27" ht="38.25" x14ac:dyDescent="0.35">
      <c r="A18" s="22" t="s">
        <v>42</v>
      </c>
      <c r="B18" s="22" t="s">
        <v>42</v>
      </c>
      <c r="C18" s="22" t="s">
        <v>570</v>
      </c>
      <c r="D18" s="64">
        <v>129000</v>
      </c>
      <c r="E18" s="22" t="s">
        <v>571</v>
      </c>
      <c r="F18" s="22" t="s">
        <v>60</v>
      </c>
      <c r="G18" s="22" t="s">
        <v>572</v>
      </c>
      <c r="H18" s="22" t="s">
        <v>38</v>
      </c>
      <c r="I18" s="33" t="s">
        <v>38</v>
      </c>
      <c r="J18" s="35" t="s">
        <v>38</v>
      </c>
      <c r="K18" s="22">
        <v>4.5</v>
      </c>
      <c r="L18" s="22">
        <v>5</v>
      </c>
      <c r="M18" s="22">
        <v>4.5</v>
      </c>
      <c r="N18" s="22">
        <v>4</v>
      </c>
      <c r="O18" s="22">
        <v>5</v>
      </c>
      <c r="P18" s="22">
        <v>5</v>
      </c>
      <c r="Q18" s="22">
        <v>5</v>
      </c>
      <c r="R18" s="11">
        <f t="shared" si="1"/>
        <v>4.7142857142857144</v>
      </c>
      <c r="S18" t="s">
        <v>277</v>
      </c>
      <c r="T18" s="22"/>
      <c r="U18" s="22"/>
      <c r="V18" s="22"/>
      <c r="W18" s="25"/>
      <c r="X18" s="25"/>
      <c r="Y18" s="25"/>
      <c r="Z18" s="25"/>
      <c r="AA18" s="25"/>
    </row>
    <row r="19" spans="1:27" ht="38.25" x14ac:dyDescent="0.35">
      <c r="A19" s="22" t="s">
        <v>42</v>
      </c>
      <c r="B19" s="22" t="s">
        <v>573</v>
      </c>
      <c r="C19" t="s">
        <v>574</v>
      </c>
      <c r="D19" s="64">
        <v>129000</v>
      </c>
      <c r="E19" s="22" t="s">
        <v>575</v>
      </c>
      <c r="F19" s="22" t="s">
        <v>60</v>
      </c>
      <c r="G19" s="22" t="s">
        <v>576</v>
      </c>
      <c r="H19" s="22" t="s">
        <v>38</v>
      </c>
      <c r="I19" s="33" t="s">
        <v>38</v>
      </c>
      <c r="J19" s="35" t="s">
        <v>38</v>
      </c>
      <c r="K19" s="22">
        <v>4.5</v>
      </c>
      <c r="L19" s="22">
        <v>5</v>
      </c>
      <c r="M19" s="22">
        <v>4.5</v>
      </c>
      <c r="N19" s="22">
        <v>4.5</v>
      </c>
      <c r="O19" s="22">
        <v>5</v>
      </c>
      <c r="P19" s="22">
        <v>5</v>
      </c>
      <c r="Q19" s="22">
        <v>5</v>
      </c>
      <c r="R19" s="11">
        <f t="shared" si="1"/>
        <v>4.7857142857142856</v>
      </c>
      <c r="S19" t="s">
        <v>277</v>
      </c>
      <c r="T19" s="22" t="s">
        <v>38</v>
      </c>
      <c r="U19" s="22" t="s">
        <v>389</v>
      </c>
      <c r="V19" s="22" t="s">
        <v>57</v>
      </c>
      <c r="W19" s="25"/>
      <c r="X19" s="25"/>
      <c r="Y19" s="25"/>
      <c r="Z19" s="25"/>
      <c r="AA19" s="25"/>
    </row>
    <row r="20" spans="1:27" ht="51" x14ac:dyDescent="0.35">
      <c r="A20" s="22" t="s">
        <v>42</v>
      </c>
      <c r="B20" s="22" t="s">
        <v>42</v>
      </c>
      <c r="C20" s="22" t="s">
        <v>577</v>
      </c>
      <c r="D20" s="65">
        <v>121000</v>
      </c>
      <c r="E20" s="22" t="s">
        <v>578</v>
      </c>
      <c r="F20" s="22" t="s">
        <v>60</v>
      </c>
      <c r="G20" s="22" t="s">
        <v>579</v>
      </c>
      <c r="H20" s="22" t="s">
        <v>38</v>
      </c>
      <c r="I20" s="33" t="s">
        <v>38</v>
      </c>
      <c r="J20" s="22" t="s">
        <v>38</v>
      </c>
      <c r="K20" s="22">
        <v>4.5</v>
      </c>
      <c r="L20" s="22">
        <v>5</v>
      </c>
      <c r="M20" s="22">
        <v>4.5</v>
      </c>
      <c r="N20" s="22">
        <v>4.5</v>
      </c>
      <c r="O20" s="22">
        <v>5</v>
      </c>
      <c r="P20" s="22">
        <v>5</v>
      </c>
      <c r="Q20" s="22">
        <v>5</v>
      </c>
      <c r="R20" s="11">
        <f t="shared" si="1"/>
        <v>4.7857142857142856</v>
      </c>
      <c r="S20" s="22" t="s">
        <v>277</v>
      </c>
      <c r="T20" s="22" t="s">
        <v>38</v>
      </c>
      <c r="U20" s="22" t="s">
        <v>389</v>
      </c>
      <c r="V20" s="22" t="s">
        <v>57</v>
      </c>
      <c r="W20" s="25"/>
      <c r="X20" s="47"/>
      <c r="Y20" s="47"/>
      <c r="Z20" s="47"/>
      <c r="AA20" s="47"/>
    </row>
    <row r="21" spans="1:27" ht="25.5" x14ac:dyDescent="0.35">
      <c r="A21" s="44" t="s">
        <v>454</v>
      </c>
      <c r="B21" s="44" t="s">
        <v>454</v>
      </c>
      <c r="C21" s="44" t="s">
        <v>580</v>
      </c>
      <c r="D21" s="65" t="s">
        <v>735</v>
      </c>
      <c r="E21" s="44" t="s">
        <v>581</v>
      </c>
      <c r="F21" s="45" t="s">
        <v>60</v>
      </c>
      <c r="G21" s="45" t="s">
        <v>505</v>
      </c>
      <c r="H21" s="45" t="s">
        <v>38</v>
      </c>
      <c r="I21" s="46" t="s">
        <v>38</v>
      </c>
      <c r="J21" s="45" t="s">
        <v>38</v>
      </c>
      <c r="K21" s="45">
        <v>3</v>
      </c>
      <c r="L21" s="45">
        <v>3</v>
      </c>
      <c r="M21" s="45">
        <v>3</v>
      </c>
      <c r="N21" s="45">
        <v>3</v>
      </c>
      <c r="O21" s="45">
        <v>3</v>
      </c>
      <c r="P21" s="45">
        <v>3</v>
      </c>
      <c r="Q21" s="45">
        <v>3</v>
      </c>
      <c r="R21" s="56">
        <f t="shared" si="1"/>
        <v>3</v>
      </c>
      <c r="S21" s="45" t="s">
        <v>42</v>
      </c>
      <c r="T21" s="45" t="s">
        <v>38</v>
      </c>
      <c r="U21" s="45" t="s">
        <v>582</v>
      </c>
      <c r="V21" s="45" t="s">
        <v>38</v>
      </c>
      <c r="W21" s="47"/>
      <c r="X21" s="42"/>
      <c r="Y21" s="42"/>
      <c r="Z21" s="42"/>
      <c r="AA21"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86E8"/>
    <outlinePr summaryBelow="0" summaryRight="0"/>
  </sheetPr>
  <dimension ref="A1:K1017"/>
  <sheetViews>
    <sheetView topLeftCell="A12" workbookViewId="0">
      <selection activeCell="E14" sqref="E14"/>
    </sheetView>
  </sheetViews>
  <sheetFormatPr defaultColWidth="12.59765625" defaultRowHeight="15.75" customHeight="1" x14ac:dyDescent="0.35"/>
  <cols>
    <col min="1" max="1" width="9.265625" customWidth="1"/>
    <col min="2" max="2" width="17.265625" customWidth="1"/>
    <col min="3" max="3" width="9.46484375" style="64" customWidth="1"/>
    <col min="4" max="4" width="49.46484375" customWidth="1"/>
    <col min="5" max="5" width="36.3984375" customWidth="1"/>
    <col min="6" max="6" width="14.265625" customWidth="1"/>
    <col min="7" max="7" width="9.46484375" customWidth="1"/>
  </cols>
  <sheetData>
    <row r="1" spans="1:11" ht="15.75" customHeight="1" x14ac:dyDescent="0.4">
      <c r="A1" s="61" t="s">
        <v>583</v>
      </c>
      <c r="B1" s="61"/>
      <c r="C1" s="71"/>
      <c r="D1" s="62"/>
      <c r="E1" s="61"/>
      <c r="F1" s="61"/>
      <c r="G1" s="61"/>
      <c r="H1" s="25"/>
      <c r="I1" s="25"/>
      <c r="J1" s="25"/>
      <c r="K1" s="25"/>
    </row>
    <row r="2" spans="1:11" ht="15.75" customHeight="1" x14ac:dyDescent="0.4">
      <c r="A2" s="61" t="s">
        <v>7</v>
      </c>
      <c r="B2" s="61" t="s">
        <v>8</v>
      </c>
      <c r="C2" s="77" t="s">
        <v>754</v>
      </c>
      <c r="D2" s="62" t="s">
        <v>10</v>
      </c>
      <c r="E2" s="61" t="s">
        <v>584</v>
      </c>
      <c r="F2" s="61" t="s">
        <v>585</v>
      </c>
      <c r="G2" s="61" t="s">
        <v>26</v>
      </c>
      <c r="H2" s="25"/>
      <c r="I2" s="25"/>
      <c r="J2" s="25"/>
      <c r="K2" s="25"/>
    </row>
    <row r="3" spans="1:11" ht="60.75" customHeight="1" x14ac:dyDescent="0.35">
      <c r="A3" s="22" t="s">
        <v>29</v>
      </c>
      <c r="B3" s="22" t="s">
        <v>586</v>
      </c>
      <c r="C3" s="64">
        <v>1499000</v>
      </c>
      <c r="D3" s="60" t="s">
        <v>742</v>
      </c>
      <c r="E3" s="22" t="s">
        <v>587</v>
      </c>
      <c r="F3" s="22" t="s">
        <v>588</v>
      </c>
      <c r="G3" s="22" t="s">
        <v>293</v>
      </c>
      <c r="H3" s="20"/>
      <c r="I3" s="20"/>
      <c r="J3" s="20"/>
      <c r="K3" s="20"/>
    </row>
    <row r="4" spans="1:11" ht="49.15" customHeight="1" x14ac:dyDescent="0.35">
      <c r="A4" s="22" t="s">
        <v>40</v>
      </c>
      <c r="B4" s="22" t="s">
        <v>589</v>
      </c>
      <c r="C4" s="64">
        <v>2900000</v>
      </c>
      <c r="D4" s="59" t="s">
        <v>753</v>
      </c>
      <c r="E4" s="22" t="s">
        <v>590</v>
      </c>
      <c r="F4" s="22" t="s">
        <v>591</v>
      </c>
      <c r="G4" s="22" t="s">
        <v>268</v>
      </c>
      <c r="H4" s="20"/>
      <c r="I4" s="20"/>
      <c r="J4" s="20"/>
      <c r="K4" s="20"/>
    </row>
    <row r="5" spans="1:11" ht="93.75" customHeight="1" x14ac:dyDescent="0.35">
      <c r="A5" s="22" t="s">
        <v>187</v>
      </c>
      <c r="B5" s="22" t="s">
        <v>592</v>
      </c>
      <c r="C5" s="64">
        <v>1099000</v>
      </c>
      <c r="D5" s="60" t="s">
        <v>743</v>
      </c>
      <c r="E5" s="22" t="s">
        <v>593</v>
      </c>
      <c r="F5" s="22" t="s">
        <v>594</v>
      </c>
      <c r="G5" s="22" t="s">
        <v>49</v>
      </c>
      <c r="H5" s="20"/>
      <c r="I5" s="20"/>
      <c r="J5" s="20"/>
      <c r="K5" s="20"/>
    </row>
    <row r="6" spans="1:11" ht="83.65" customHeight="1" x14ac:dyDescent="0.35">
      <c r="A6" s="22" t="s">
        <v>77</v>
      </c>
      <c r="B6" s="22" t="s">
        <v>595</v>
      </c>
      <c r="C6" s="64">
        <v>1400000</v>
      </c>
      <c r="D6" s="22" t="s">
        <v>596</v>
      </c>
      <c r="E6" s="22" t="s">
        <v>597</v>
      </c>
      <c r="F6" s="22" t="s">
        <v>598</v>
      </c>
      <c r="G6" s="22" t="s">
        <v>37</v>
      </c>
      <c r="H6" s="20"/>
      <c r="I6" s="20"/>
      <c r="J6" s="20"/>
      <c r="K6" s="20"/>
    </row>
    <row r="7" spans="1:11" ht="55.5" customHeight="1" x14ac:dyDescent="0.35">
      <c r="A7" s="22" t="s">
        <v>33</v>
      </c>
      <c r="B7" s="22" t="s">
        <v>599</v>
      </c>
      <c r="C7" s="64">
        <v>899000</v>
      </c>
      <c r="D7" s="22" t="s">
        <v>600</v>
      </c>
      <c r="E7" s="22" t="s">
        <v>601</v>
      </c>
      <c r="F7" s="22" t="s">
        <v>602</v>
      </c>
      <c r="G7" s="22" t="s">
        <v>603</v>
      </c>
      <c r="H7" s="20"/>
      <c r="I7" s="20"/>
      <c r="J7" s="20"/>
      <c r="K7" s="20"/>
    </row>
    <row r="8" spans="1:11" ht="91.5" customHeight="1" x14ac:dyDescent="0.35">
      <c r="A8" s="22" t="s">
        <v>167</v>
      </c>
      <c r="B8" s="22" t="s">
        <v>604</v>
      </c>
      <c r="C8" s="64">
        <v>399000</v>
      </c>
      <c r="D8" s="60" t="s">
        <v>744</v>
      </c>
      <c r="E8" s="22" t="s">
        <v>605</v>
      </c>
      <c r="F8" s="22" t="s">
        <v>606</v>
      </c>
      <c r="G8" s="22" t="s">
        <v>293</v>
      </c>
      <c r="H8" s="20"/>
      <c r="I8" s="20"/>
      <c r="J8" s="20"/>
      <c r="K8" s="20"/>
    </row>
    <row r="9" spans="1:11" ht="51" x14ac:dyDescent="0.35">
      <c r="A9" s="22" t="s">
        <v>33</v>
      </c>
      <c r="B9" s="22" t="s">
        <v>607</v>
      </c>
      <c r="C9" s="64">
        <v>494000</v>
      </c>
      <c r="D9" s="22" t="s">
        <v>608</v>
      </c>
      <c r="E9" s="22" t="s">
        <v>609</v>
      </c>
      <c r="F9" s="22" t="s">
        <v>610</v>
      </c>
      <c r="G9" s="22" t="s">
        <v>268</v>
      </c>
      <c r="H9" s="20"/>
      <c r="I9" s="20"/>
      <c r="J9" s="20"/>
      <c r="K9" s="20"/>
    </row>
    <row r="10" spans="1:11" ht="102" x14ac:dyDescent="0.35">
      <c r="A10" s="22" t="s">
        <v>59</v>
      </c>
      <c r="B10" s="22" t="s">
        <v>611</v>
      </c>
      <c r="C10" s="64">
        <v>859000</v>
      </c>
      <c r="D10" s="22" t="s">
        <v>612</v>
      </c>
      <c r="E10" s="22" t="s">
        <v>613</v>
      </c>
      <c r="F10" s="22" t="s">
        <v>614</v>
      </c>
      <c r="G10" s="22" t="s">
        <v>293</v>
      </c>
      <c r="H10" s="20"/>
      <c r="I10" s="20"/>
      <c r="J10" s="20"/>
      <c r="K10" s="20"/>
    </row>
    <row r="11" spans="1:11" ht="25.5" x14ac:dyDescent="0.35">
      <c r="A11" s="22" t="s">
        <v>59</v>
      </c>
      <c r="B11" s="22" t="s">
        <v>615</v>
      </c>
      <c r="C11" s="64">
        <v>470000</v>
      </c>
      <c r="D11" s="22"/>
      <c r="E11" s="22"/>
      <c r="F11" s="22"/>
      <c r="G11" s="22"/>
      <c r="H11" s="20"/>
      <c r="I11" s="20"/>
      <c r="J11" s="20"/>
      <c r="K11" s="20"/>
    </row>
    <row r="12" spans="1:11" ht="63.75" x14ac:dyDescent="0.35">
      <c r="A12" s="22" t="s">
        <v>59</v>
      </c>
      <c r="B12" s="22" t="s">
        <v>616</v>
      </c>
      <c r="C12" s="64">
        <v>849000</v>
      </c>
      <c r="D12" s="22" t="s">
        <v>617</v>
      </c>
      <c r="E12" s="22" t="s">
        <v>613</v>
      </c>
      <c r="F12" s="22" t="s">
        <v>618</v>
      </c>
      <c r="G12" s="22" t="s">
        <v>268</v>
      </c>
      <c r="H12" s="20"/>
      <c r="I12" s="20"/>
      <c r="J12" s="20"/>
      <c r="K12" s="20"/>
    </row>
    <row r="13" spans="1:11" ht="51" x14ac:dyDescent="0.35">
      <c r="A13" s="22" t="s">
        <v>59</v>
      </c>
      <c r="B13" s="22" t="s">
        <v>619</v>
      </c>
      <c r="C13" s="64">
        <v>599000</v>
      </c>
      <c r="D13" s="22" t="s">
        <v>620</v>
      </c>
      <c r="E13" s="22" t="s">
        <v>621</v>
      </c>
      <c r="F13" s="22" t="s">
        <v>622</v>
      </c>
      <c r="G13" s="22" t="s">
        <v>265</v>
      </c>
      <c r="H13" s="20"/>
      <c r="I13" s="20"/>
      <c r="J13" s="20"/>
      <c r="K13" s="20"/>
    </row>
    <row r="14" spans="1:11" ht="51" x14ac:dyDescent="0.35">
      <c r="A14" s="22" t="s">
        <v>59</v>
      </c>
      <c r="B14" s="22" t="s">
        <v>623</v>
      </c>
      <c r="C14" s="64">
        <v>619000</v>
      </c>
      <c r="D14" s="22" t="s">
        <v>624</v>
      </c>
      <c r="E14" s="22" t="s">
        <v>621</v>
      </c>
      <c r="F14" s="22" t="s">
        <v>625</v>
      </c>
      <c r="G14" s="22" t="s">
        <v>265</v>
      </c>
      <c r="H14" s="20"/>
      <c r="I14" s="20"/>
      <c r="J14" s="20"/>
      <c r="K14" s="20"/>
    </row>
    <row r="15" spans="1:11" ht="25.5" x14ac:dyDescent="0.35">
      <c r="A15" s="22" t="s">
        <v>59</v>
      </c>
      <c r="B15" s="22" t="s">
        <v>626</v>
      </c>
      <c r="C15" s="64">
        <v>399000</v>
      </c>
      <c r="D15" s="22" t="s">
        <v>627</v>
      </c>
      <c r="E15" s="22" t="s">
        <v>628</v>
      </c>
      <c r="F15" s="22" t="s">
        <v>629</v>
      </c>
      <c r="G15" s="22"/>
      <c r="H15" s="20"/>
      <c r="I15" s="20"/>
      <c r="J15" s="20"/>
      <c r="K15" s="20"/>
    </row>
    <row r="16" spans="1:11" ht="51" x14ac:dyDescent="0.35">
      <c r="A16" s="22" t="s">
        <v>59</v>
      </c>
      <c r="B16" s="22" t="s">
        <v>630</v>
      </c>
      <c r="C16" s="65" t="s">
        <v>741</v>
      </c>
      <c r="D16" s="22" t="s">
        <v>631</v>
      </c>
      <c r="E16" s="22" t="s">
        <v>632</v>
      </c>
      <c r="F16" s="22" t="s">
        <v>633</v>
      </c>
      <c r="G16" s="22" t="s">
        <v>265</v>
      </c>
      <c r="H16" s="20"/>
      <c r="I16" s="20"/>
      <c r="J16" s="20"/>
      <c r="K16" s="20"/>
    </row>
    <row r="17" spans="1:11" ht="38.25" x14ac:dyDescent="0.35">
      <c r="A17" s="22" t="s">
        <v>59</v>
      </c>
      <c r="B17" s="22" t="s">
        <v>634</v>
      </c>
      <c r="C17" s="64">
        <v>1700000</v>
      </c>
      <c r="D17" s="22" t="s">
        <v>635</v>
      </c>
      <c r="E17" s="22" t="s">
        <v>636</v>
      </c>
      <c r="F17" s="22" t="s">
        <v>637</v>
      </c>
      <c r="G17" s="22" t="s">
        <v>268</v>
      </c>
      <c r="H17" s="20"/>
      <c r="I17" s="20"/>
      <c r="J17" s="20"/>
      <c r="K17" s="20"/>
    </row>
    <row r="18" spans="1:11" ht="38.25" x14ac:dyDescent="0.35">
      <c r="A18" s="22" t="s">
        <v>42</v>
      </c>
      <c r="B18" s="22" t="s">
        <v>638</v>
      </c>
      <c r="C18" s="64">
        <v>2400000</v>
      </c>
      <c r="D18" s="22" t="s">
        <v>639</v>
      </c>
      <c r="E18" s="22" t="s">
        <v>640</v>
      </c>
      <c r="F18" s="22" t="s">
        <v>641</v>
      </c>
      <c r="G18" s="22" t="s">
        <v>49</v>
      </c>
      <c r="H18" s="20"/>
      <c r="I18" s="20"/>
      <c r="J18" s="20"/>
      <c r="K18" s="20"/>
    </row>
    <row r="19" spans="1:11" ht="51" x14ac:dyDescent="0.35">
      <c r="A19" s="22" t="s">
        <v>454</v>
      </c>
      <c r="B19" s="22" t="s">
        <v>642</v>
      </c>
      <c r="C19" s="64">
        <v>2100000</v>
      </c>
      <c r="D19" s="22" t="s">
        <v>643</v>
      </c>
      <c r="E19" s="22" t="s">
        <v>644</v>
      </c>
      <c r="F19" s="22" t="s">
        <v>645</v>
      </c>
      <c r="G19" s="22" t="s">
        <v>646</v>
      </c>
      <c r="H19" s="20"/>
      <c r="I19" s="20"/>
      <c r="J19" s="20"/>
      <c r="K19" s="20"/>
    </row>
    <row r="20" spans="1:11" ht="12.75" x14ac:dyDescent="0.35">
      <c r="A20" s="22"/>
      <c r="B20" s="22"/>
      <c r="C20" s="72"/>
      <c r="D20" s="22"/>
      <c r="E20" s="22"/>
      <c r="F20" s="22"/>
      <c r="G20" s="22"/>
      <c r="H20" s="20"/>
      <c r="I20" s="20"/>
      <c r="J20" s="20"/>
      <c r="K20" s="20"/>
    </row>
    <row r="21" spans="1:11" ht="12.75" x14ac:dyDescent="0.35">
      <c r="A21" s="18"/>
      <c r="B21" s="18"/>
      <c r="C21" s="66"/>
      <c r="D21" s="18"/>
      <c r="E21" s="18"/>
      <c r="F21" s="31"/>
      <c r="G21" s="31"/>
      <c r="H21" s="20"/>
      <c r="I21" s="20"/>
      <c r="J21" s="20"/>
      <c r="K21" s="20"/>
    </row>
    <row r="22" spans="1:11" ht="12.75" x14ac:dyDescent="0.35">
      <c r="A22" s="18"/>
      <c r="B22" s="18"/>
      <c r="C22" s="66"/>
      <c r="D22" s="18"/>
      <c r="E22" s="18"/>
      <c r="F22" s="18"/>
      <c r="G22" s="18"/>
      <c r="H22" s="42"/>
      <c r="I22" s="42"/>
      <c r="J22" s="42"/>
      <c r="K22" s="42"/>
    </row>
    <row r="23" spans="1:11" ht="12.75" x14ac:dyDescent="0.35">
      <c r="A23" s="40"/>
      <c r="B23" s="40"/>
      <c r="C23" s="73"/>
      <c r="D23" s="40"/>
      <c r="E23" s="40"/>
      <c r="F23" s="40"/>
      <c r="G23" s="40"/>
      <c r="H23" s="25"/>
      <c r="I23" s="25"/>
      <c r="J23" s="25"/>
      <c r="K23" s="25"/>
    </row>
    <row r="24" spans="1:11" ht="12.75" x14ac:dyDescent="0.35">
      <c r="A24" s="22"/>
      <c r="B24" s="22"/>
      <c r="C24" s="72"/>
      <c r="D24" s="22"/>
      <c r="E24" s="35"/>
      <c r="F24" s="22"/>
      <c r="G24" s="22"/>
      <c r="H24" s="25"/>
      <c r="I24" s="25"/>
      <c r="J24" s="25"/>
      <c r="K24" s="25"/>
    </row>
    <row r="25" spans="1:11" ht="12.75" x14ac:dyDescent="0.35">
      <c r="A25" s="22"/>
      <c r="B25" s="22"/>
      <c r="C25" s="72"/>
      <c r="D25" s="22"/>
      <c r="E25" s="35"/>
      <c r="F25" s="22"/>
      <c r="G25" s="22"/>
      <c r="H25" s="25"/>
      <c r="I25" s="25"/>
      <c r="J25" s="25"/>
      <c r="K25" s="25"/>
    </row>
    <row r="26" spans="1:11" ht="12.75" x14ac:dyDescent="0.35">
      <c r="A26" s="22"/>
      <c r="B26" s="22"/>
      <c r="C26" s="72"/>
      <c r="D26" s="22"/>
      <c r="E26" s="22"/>
      <c r="F26" s="22"/>
      <c r="G26" s="22"/>
      <c r="H26" s="47"/>
      <c r="I26" s="47"/>
      <c r="J26" s="47"/>
      <c r="K26" s="47"/>
    </row>
    <row r="27" spans="1:11" ht="12.75" x14ac:dyDescent="0.35">
      <c r="A27" s="44"/>
      <c r="B27" s="44"/>
      <c r="C27" s="74"/>
      <c r="D27" s="44"/>
      <c r="E27" s="45"/>
      <c r="F27" s="45"/>
      <c r="G27" s="45"/>
      <c r="H27" s="42"/>
      <c r="I27" s="42"/>
      <c r="J27" s="42"/>
      <c r="K27" s="42"/>
    </row>
    <row r="28" spans="1:11" ht="12.75" x14ac:dyDescent="0.35">
      <c r="A28" s="36"/>
      <c r="B28" s="36"/>
      <c r="C28" s="75"/>
      <c r="D28" s="36"/>
      <c r="E28" s="57"/>
      <c r="F28" s="57"/>
      <c r="G28" s="57"/>
      <c r="H28" s="39"/>
      <c r="I28" s="39"/>
      <c r="J28" s="39"/>
      <c r="K28" s="39"/>
    </row>
    <row r="29" spans="1:11" ht="12.75" x14ac:dyDescent="0.35">
      <c r="A29" s="39"/>
      <c r="B29" s="39"/>
      <c r="C29" s="76"/>
      <c r="D29" s="58"/>
      <c r="E29" s="39"/>
      <c r="F29" s="39"/>
      <c r="G29" s="39"/>
      <c r="H29" s="39"/>
      <c r="I29" s="39"/>
      <c r="J29" s="39"/>
      <c r="K29" s="39"/>
    </row>
    <row r="30" spans="1:11" ht="12.75" x14ac:dyDescent="0.35"/>
    <row r="31" spans="1:11" ht="12.75" x14ac:dyDescent="0.35"/>
    <row r="32" spans="1:11" ht="12.75" x14ac:dyDescent="0.35"/>
    <row r="33" ht="12.75" x14ac:dyDescent="0.35"/>
    <row r="34" ht="12.75" x14ac:dyDescent="0.35"/>
    <row r="35" ht="12.75" x14ac:dyDescent="0.35"/>
    <row r="36" ht="12.75" x14ac:dyDescent="0.35"/>
    <row r="37" ht="12.75" x14ac:dyDescent="0.35"/>
    <row r="38" ht="12.75" x14ac:dyDescent="0.35"/>
    <row r="39" ht="12.75" x14ac:dyDescent="0.35"/>
    <row r="40" ht="12.75" x14ac:dyDescent="0.35"/>
    <row r="41" ht="12.75" x14ac:dyDescent="0.35"/>
    <row r="42" ht="12.75" x14ac:dyDescent="0.35"/>
    <row r="43" ht="12.75" x14ac:dyDescent="0.35"/>
    <row r="44" ht="12.75" x14ac:dyDescent="0.35"/>
    <row r="45" ht="12.75" x14ac:dyDescent="0.35"/>
    <row r="46" ht="12.75" x14ac:dyDescent="0.35"/>
    <row r="47" ht="12.75" x14ac:dyDescent="0.35"/>
    <row r="48" ht="12.75" x14ac:dyDescent="0.35"/>
    <row r="49" ht="12.75" x14ac:dyDescent="0.35"/>
    <row r="50" ht="12.75" x14ac:dyDescent="0.35"/>
    <row r="51" ht="12.75" x14ac:dyDescent="0.35"/>
    <row r="52" ht="12.75" x14ac:dyDescent="0.35"/>
    <row r="53" ht="12.75" x14ac:dyDescent="0.35"/>
    <row r="54" ht="12.75" x14ac:dyDescent="0.35"/>
    <row r="55" ht="12.75" x14ac:dyDescent="0.35"/>
    <row r="56" ht="12.75" x14ac:dyDescent="0.35"/>
    <row r="57" ht="12.75" x14ac:dyDescent="0.35"/>
    <row r="58" ht="12.75" x14ac:dyDescent="0.35"/>
    <row r="59" ht="12.75" x14ac:dyDescent="0.35"/>
    <row r="60" ht="12.75" x14ac:dyDescent="0.35"/>
    <row r="61" ht="12.75" x14ac:dyDescent="0.35"/>
    <row r="62" ht="12.75" x14ac:dyDescent="0.35"/>
    <row r="63" ht="12.75" x14ac:dyDescent="0.35"/>
    <row r="64" ht="12.75" x14ac:dyDescent="0.35"/>
    <row r="65" ht="12.75" x14ac:dyDescent="0.35"/>
    <row r="66" ht="12.75" x14ac:dyDescent="0.35"/>
    <row r="67" ht="12.75" x14ac:dyDescent="0.35"/>
    <row r="68" ht="12.75" x14ac:dyDescent="0.35"/>
    <row r="69" ht="12.75" x14ac:dyDescent="0.35"/>
    <row r="70" ht="12.75" x14ac:dyDescent="0.35"/>
    <row r="71" ht="12.75" x14ac:dyDescent="0.35"/>
    <row r="72" ht="12.75" x14ac:dyDescent="0.35"/>
    <row r="73" ht="12.75" x14ac:dyDescent="0.35"/>
    <row r="74" ht="12.75" x14ac:dyDescent="0.35"/>
    <row r="75" ht="12.75" x14ac:dyDescent="0.35"/>
    <row r="76" ht="12.75" x14ac:dyDescent="0.35"/>
    <row r="77" ht="12.75" x14ac:dyDescent="0.35"/>
    <row r="78" ht="12.75" x14ac:dyDescent="0.35"/>
    <row r="79" ht="12.75" x14ac:dyDescent="0.35"/>
    <row r="80" ht="12.75" x14ac:dyDescent="0.35"/>
    <row r="81" ht="12.75" x14ac:dyDescent="0.35"/>
    <row r="82" ht="12.75" x14ac:dyDescent="0.35"/>
    <row r="83" ht="12.75" x14ac:dyDescent="0.35"/>
    <row r="84" ht="12.75" x14ac:dyDescent="0.35"/>
    <row r="85" ht="12.75" x14ac:dyDescent="0.35"/>
    <row r="86" ht="12.75" x14ac:dyDescent="0.35"/>
    <row r="87" ht="12.75" x14ac:dyDescent="0.35"/>
    <row r="88" ht="12.75" x14ac:dyDescent="0.35"/>
    <row r="89" ht="12.75" x14ac:dyDescent="0.35"/>
    <row r="90" ht="12.75" x14ac:dyDescent="0.35"/>
    <row r="91" ht="12.75" x14ac:dyDescent="0.35"/>
    <row r="92" ht="12.75" x14ac:dyDescent="0.35"/>
    <row r="93" ht="12.75" x14ac:dyDescent="0.35"/>
    <row r="94" ht="12.75" x14ac:dyDescent="0.35"/>
    <row r="95" ht="12.75" x14ac:dyDescent="0.35"/>
    <row r="96" ht="12.75" x14ac:dyDescent="0.35"/>
    <row r="97" ht="12.75" x14ac:dyDescent="0.35"/>
    <row r="98" ht="12.75" x14ac:dyDescent="0.35"/>
    <row r="99" ht="12.75" x14ac:dyDescent="0.35"/>
    <row r="100" ht="12.75" x14ac:dyDescent="0.35"/>
    <row r="101" ht="12.75" x14ac:dyDescent="0.35"/>
    <row r="102" ht="12.75" x14ac:dyDescent="0.35"/>
    <row r="103" ht="12.75" x14ac:dyDescent="0.35"/>
    <row r="104" ht="12.75" x14ac:dyDescent="0.35"/>
    <row r="105" ht="12.75" x14ac:dyDescent="0.35"/>
    <row r="106" ht="12.75" x14ac:dyDescent="0.35"/>
    <row r="107" ht="12.75" x14ac:dyDescent="0.35"/>
    <row r="108" ht="12.75" x14ac:dyDescent="0.35"/>
    <row r="109" ht="12.75" x14ac:dyDescent="0.35"/>
    <row r="110" ht="12.75" x14ac:dyDescent="0.35"/>
    <row r="111" ht="12.75" x14ac:dyDescent="0.35"/>
    <row r="112" ht="12.75" x14ac:dyDescent="0.35"/>
    <row r="113" ht="12.75" x14ac:dyDescent="0.35"/>
    <row r="114" ht="12.75" x14ac:dyDescent="0.35"/>
    <row r="115" ht="12.75" x14ac:dyDescent="0.35"/>
    <row r="116" ht="12.75" x14ac:dyDescent="0.35"/>
    <row r="117" ht="12.75" x14ac:dyDescent="0.35"/>
    <row r="118" ht="12.75" x14ac:dyDescent="0.35"/>
    <row r="119" ht="12.75" x14ac:dyDescent="0.35"/>
    <row r="120" ht="12.75" x14ac:dyDescent="0.35"/>
    <row r="121" ht="12.75" x14ac:dyDescent="0.35"/>
    <row r="122" ht="12.75" x14ac:dyDescent="0.35"/>
    <row r="123" ht="12.75" x14ac:dyDescent="0.35"/>
    <row r="124" ht="12.75" x14ac:dyDescent="0.35"/>
    <row r="125" ht="12.75" x14ac:dyDescent="0.35"/>
    <row r="126" ht="12.75" x14ac:dyDescent="0.35"/>
    <row r="127" ht="12.75" x14ac:dyDescent="0.35"/>
    <row r="128" ht="12.75" x14ac:dyDescent="0.35"/>
    <row r="129" ht="12.75" x14ac:dyDescent="0.35"/>
    <row r="130" ht="12.75" x14ac:dyDescent="0.35"/>
    <row r="131" ht="12.75" x14ac:dyDescent="0.35"/>
    <row r="132" ht="12.75" x14ac:dyDescent="0.35"/>
    <row r="133" ht="12.75" x14ac:dyDescent="0.35"/>
    <row r="134" ht="12.75" x14ac:dyDescent="0.35"/>
    <row r="135" ht="12.75" x14ac:dyDescent="0.35"/>
    <row r="136" ht="12.75" x14ac:dyDescent="0.35"/>
    <row r="137" ht="12.75" x14ac:dyDescent="0.35"/>
    <row r="138" ht="12.75" x14ac:dyDescent="0.35"/>
    <row r="139" ht="12.75" x14ac:dyDescent="0.35"/>
    <row r="140" ht="12.75" x14ac:dyDescent="0.35"/>
    <row r="141" ht="12.75" x14ac:dyDescent="0.35"/>
    <row r="142" ht="12.75" x14ac:dyDescent="0.35"/>
    <row r="143" ht="12.75" x14ac:dyDescent="0.35"/>
    <row r="144" ht="12.75" x14ac:dyDescent="0.35"/>
    <row r="145" ht="12.75" x14ac:dyDescent="0.35"/>
    <row r="146" ht="12.75" x14ac:dyDescent="0.35"/>
    <row r="147" ht="12.75" x14ac:dyDescent="0.35"/>
    <row r="148" ht="12.75" x14ac:dyDescent="0.35"/>
    <row r="149" ht="12.75" x14ac:dyDescent="0.35"/>
    <row r="150" ht="12.75" x14ac:dyDescent="0.35"/>
    <row r="151" ht="12.75" x14ac:dyDescent="0.35"/>
    <row r="152" ht="12.75" x14ac:dyDescent="0.35"/>
    <row r="153" ht="12.75" x14ac:dyDescent="0.35"/>
    <row r="154" ht="12.75" x14ac:dyDescent="0.35"/>
    <row r="155" ht="12.75" x14ac:dyDescent="0.35"/>
    <row r="156" ht="12.75" x14ac:dyDescent="0.35"/>
    <row r="157" ht="12.75" x14ac:dyDescent="0.35"/>
    <row r="158" ht="12.75" x14ac:dyDescent="0.35"/>
    <row r="159" ht="12.75" x14ac:dyDescent="0.35"/>
    <row r="160" ht="12.75" x14ac:dyDescent="0.35"/>
    <row r="161" ht="12.75" x14ac:dyDescent="0.35"/>
    <row r="162" ht="12.75" x14ac:dyDescent="0.35"/>
    <row r="163" ht="12.75" x14ac:dyDescent="0.35"/>
    <row r="164" ht="12.75" x14ac:dyDescent="0.35"/>
    <row r="165" ht="12.75" x14ac:dyDescent="0.35"/>
    <row r="166" ht="12.75" x14ac:dyDescent="0.35"/>
    <row r="167" ht="12.75" x14ac:dyDescent="0.35"/>
    <row r="168" ht="12.75" x14ac:dyDescent="0.35"/>
    <row r="169" ht="12.75" x14ac:dyDescent="0.35"/>
    <row r="170" ht="12.75" x14ac:dyDescent="0.35"/>
    <row r="171" ht="12.75" x14ac:dyDescent="0.35"/>
    <row r="172" ht="12.75" x14ac:dyDescent="0.35"/>
    <row r="173" ht="12.75" x14ac:dyDescent="0.35"/>
    <row r="174" ht="12.75" x14ac:dyDescent="0.35"/>
    <row r="175" ht="12.75" x14ac:dyDescent="0.35"/>
    <row r="176" ht="12.75" x14ac:dyDescent="0.35"/>
    <row r="177" ht="12.75" x14ac:dyDescent="0.35"/>
    <row r="178" ht="12.75" x14ac:dyDescent="0.35"/>
    <row r="179" ht="12.75" x14ac:dyDescent="0.35"/>
    <row r="180" ht="12.75" x14ac:dyDescent="0.35"/>
    <row r="181" ht="12.75" x14ac:dyDescent="0.35"/>
    <row r="182" ht="12.75" x14ac:dyDescent="0.35"/>
    <row r="183" ht="12.75" x14ac:dyDescent="0.35"/>
    <row r="184" ht="12.75" x14ac:dyDescent="0.35"/>
    <row r="185" ht="12.75" x14ac:dyDescent="0.35"/>
    <row r="186" ht="12.75" x14ac:dyDescent="0.35"/>
    <row r="187" ht="12.75" x14ac:dyDescent="0.35"/>
    <row r="188" ht="12.75" x14ac:dyDescent="0.35"/>
    <row r="189" ht="12.75" x14ac:dyDescent="0.35"/>
    <row r="190" ht="12.75" x14ac:dyDescent="0.35"/>
    <row r="191" ht="12.75" x14ac:dyDescent="0.35"/>
    <row r="192" ht="12.75" x14ac:dyDescent="0.35"/>
    <row r="193" ht="12.75" x14ac:dyDescent="0.35"/>
    <row r="194" ht="12.75" x14ac:dyDescent="0.35"/>
    <row r="195" ht="12.75" x14ac:dyDescent="0.35"/>
    <row r="196" ht="12.75" x14ac:dyDescent="0.35"/>
    <row r="197" ht="12.75" x14ac:dyDescent="0.35"/>
    <row r="198" ht="12.75" x14ac:dyDescent="0.35"/>
    <row r="199" ht="12.75" x14ac:dyDescent="0.35"/>
    <row r="200" ht="12.75" x14ac:dyDescent="0.35"/>
    <row r="201" ht="12.75" x14ac:dyDescent="0.35"/>
    <row r="202" ht="12.75" x14ac:dyDescent="0.35"/>
    <row r="203" ht="12.75" x14ac:dyDescent="0.35"/>
    <row r="204" ht="12.75" x14ac:dyDescent="0.35"/>
    <row r="205" ht="12.75" x14ac:dyDescent="0.35"/>
    <row r="206" ht="12.75" x14ac:dyDescent="0.35"/>
    <row r="207" ht="12.75" x14ac:dyDescent="0.35"/>
    <row r="208" ht="12.75" x14ac:dyDescent="0.35"/>
    <row r="209" ht="12.75" x14ac:dyDescent="0.35"/>
    <row r="210" ht="12.75" x14ac:dyDescent="0.35"/>
    <row r="211" ht="12.75" x14ac:dyDescent="0.35"/>
    <row r="212" ht="12.75" x14ac:dyDescent="0.35"/>
    <row r="213" ht="12.75" x14ac:dyDescent="0.35"/>
    <row r="214" ht="12.75" x14ac:dyDescent="0.35"/>
    <row r="215" ht="12.75" x14ac:dyDescent="0.35"/>
    <row r="216" ht="12.75" x14ac:dyDescent="0.35"/>
    <row r="217" ht="12.75" x14ac:dyDescent="0.35"/>
    <row r="218" ht="12.75" x14ac:dyDescent="0.35"/>
    <row r="219" ht="12.75" x14ac:dyDescent="0.35"/>
    <row r="220" ht="12.75" x14ac:dyDescent="0.35"/>
    <row r="221" ht="12.75" x14ac:dyDescent="0.35"/>
    <row r="222" ht="12.75" x14ac:dyDescent="0.35"/>
    <row r="223" ht="12.75" x14ac:dyDescent="0.35"/>
    <row r="224" ht="12.75" x14ac:dyDescent="0.35"/>
    <row r="225" ht="12.75" x14ac:dyDescent="0.35"/>
    <row r="226" ht="12.75" x14ac:dyDescent="0.35"/>
    <row r="227" ht="12.75" x14ac:dyDescent="0.35"/>
    <row r="228" ht="12.75" x14ac:dyDescent="0.35"/>
    <row r="229" ht="12.75" x14ac:dyDescent="0.35"/>
    <row r="230" ht="12.75" x14ac:dyDescent="0.35"/>
    <row r="231" ht="12.75" x14ac:dyDescent="0.35"/>
    <row r="232" ht="12.75" x14ac:dyDescent="0.35"/>
    <row r="233" ht="12.75" x14ac:dyDescent="0.35"/>
    <row r="234" ht="12.75" x14ac:dyDescent="0.35"/>
    <row r="235" ht="12.75" x14ac:dyDescent="0.35"/>
    <row r="236" ht="12.75" x14ac:dyDescent="0.35"/>
    <row r="237" ht="12.75" x14ac:dyDescent="0.35"/>
    <row r="238" ht="12.75" x14ac:dyDescent="0.35"/>
    <row r="239" ht="12.75" x14ac:dyDescent="0.35"/>
    <row r="240" ht="12.75" x14ac:dyDescent="0.35"/>
    <row r="241" ht="12.75" x14ac:dyDescent="0.35"/>
    <row r="242" ht="12.75" x14ac:dyDescent="0.35"/>
    <row r="243" ht="12.75" x14ac:dyDescent="0.35"/>
    <row r="244" ht="12.75" x14ac:dyDescent="0.35"/>
    <row r="245" ht="12.75" x14ac:dyDescent="0.35"/>
    <row r="246" ht="12.75" x14ac:dyDescent="0.35"/>
    <row r="247" ht="12.75" x14ac:dyDescent="0.35"/>
    <row r="248" ht="12.75" x14ac:dyDescent="0.35"/>
    <row r="249" ht="12.75" x14ac:dyDescent="0.35"/>
    <row r="250" ht="12.75" x14ac:dyDescent="0.35"/>
    <row r="251" ht="12.75" x14ac:dyDescent="0.35"/>
    <row r="252" ht="12.75" x14ac:dyDescent="0.35"/>
    <row r="253" ht="12.75" x14ac:dyDescent="0.35"/>
    <row r="254" ht="12.75" x14ac:dyDescent="0.35"/>
    <row r="255" ht="12.75" x14ac:dyDescent="0.35"/>
    <row r="256" ht="12.75" x14ac:dyDescent="0.35"/>
    <row r="257" ht="12.75" x14ac:dyDescent="0.35"/>
    <row r="258" ht="12.75" x14ac:dyDescent="0.35"/>
    <row r="259" ht="12.75" x14ac:dyDescent="0.35"/>
    <row r="260" ht="12.75" x14ac:dyDescent="0.35"/>
    <row r="261" ht="12.75" x14ac:dyDescent="0.35"/>
    <row r="262" ht="12.75" x14ac:dyDescent="0.35"/>
    <row r="263" ht="12.75" x14ac:dyDescent="0.35"/>
    <row r="264" ht="12.75" x14ac:dyDescent="0.35"/>
    <row r="265" ht="12.75" x14ac:dyDescent="0.35"/>
    <row r="266" ht="12.75" x14ac:dyDescent="0.35"/>
    <row r="267" ht="12.75" x14ac:dyDescent="0.35"/>
    <row r="268" ht="12.75" x14ac:dyDescent="0.35"/>
    <row r="269" ht="12.75" x14ac:dyDescent="0.35"/>
    <row r="270" ht="12.75" x14ac:dyDescent="0.35"/>
    <row r="271" ht="12.75" x14ac:dyDescent="0.35"/>
    <row r="272" ht="12.75" x14ac:dyDescent="0.35"/>
    <row r="273" ht="12.75" x14ac:dyDescent="0.35"/>
    <row r="274" ht="12.75" x14ac:dyDescent="0.35"/>
    <row r="275" ht="12.75" x14ac:dyDescent="0.35"/>
    <row r="276" ht="12.75" x14ac:dyDescent="0.35"/>
    <row r="277" ht="12.75" x14ac:dyDescent="0.35"/>
    <row r="278" ht="12.75" x14ac:dyDescent="0.35"/>
    <row r="279" ht="12.75" x14ac:dyDescent="0.35"/>
    <row r="280" ht="12.75" x14ac:dyDescent="0.35"/>
    <row r="281" ht="12.75" x14ac:dyDescent="0.35"/>
    <row r="282" ht="12.75" x14ac:dyDescent="0.35"/>
    <row r="283" ht="12.75" x14ac:dyDescent="0.35"/>
    <row r="284" ht="12.75" x14ac:dyDescent="0.35"/>
    <row r="285" ht="12.75" x14ac:dyDescent="0.35"/>
    <row r="286" ht="12.75" x14ac:dyDescent="0.35"/>
    <row r="287" ht="12.75" x14ac:dyDescent="0.35"/>
    <row r="288" ht="12.75" x14ac:dyDescent="0.35"/>
    <row r="289" ht="12.75" x14ac:dyDescent="0.35"/>
    <row r="290" ht="12.75" x14ac:dyDescent="0.35"/>
    <row r="291" ht="12.75" x14ac:dyDescent="0.35"/>
    <row r="292" ht="12.75" x14ac:dyDescent="0.35"/>
    <row r="293" ht="12.75" x14ac:dyDescent="0.35"/>
    <row r="294" ht="12.75" x14ac:dyDescent="0.35"/>
    <row r="295" ht="12.75" x14ac:dyDescent="0.35"/>
    <row r="296" ht="12.75" x14ac:dyDescent="0.35"/>
    <row r="297" ht="12.75" x14ac:dyDescent="0.35"/>
    <row r="298" ht="12.75" x14ac:dyDescent="0.35"/>
    <row r="299" ht="12.75" x14ac:dyDescent="0.35"/>
    <row r="300" ht="12.75" x14ac:dyDescent="0.35"/>
    <row r="301" ht="12.75" x14ac:dyDescent="0.35"/>
    <row r="302" ht="12.75" x14ac:dyDescent="0.35"/>
    <row r="303" ht="12.75" x14ac:dyDescent="0.35"/>
    <row r="304" ht="12.75" x14ac:dyDescent="0.35"/>
    <row r="305" ht="12.75" x14ac:dyDescent="0.35"/>
    <row r="306" ht="12.75" x14ac:dyDescent="0.35"/>
    <row r="307" ht="12.75" x14ac:dyDescent="0.35"/>
    <row r="308" ht="12.75" x14ac:dyDescent="0.35"/>
    <row r="309" ht="12.75" x14ac:dyDescent="0.35"/>
    <row r="310" ht="12.75" x14ac:dyDescent="0.35"/>
    <row r="311" ht="12.75" x14ac:dyDescent="0.35"/>
    <row r="312" ht="12.75" x14ac:dyDescent="0.35"/>
    <row r="313" ht="12.75" x14ac:dyDescent="0.35"/>
    <row r="314" ht="12.75" x14ac:dyDescent="0.35"/>
    <row r="315" ht="12.75" x14ac:dyDescent="0.35"/>
    <row r="316" ht="12.75" x14ac:dyDescent="0.35"/>
    <row r="317" ht="12.75" x14ac:dyDescent="0.35"/>
    <row r="318" ht="12.75" x14ac:dyDescent="0.35"/>
    <row r="319" ht="12.75" x14ac:dyDescent="0.35"/>
    <row r="320" ht="12.75" x14ac:dyDescent="0.35"/>
    <row r="321" ht="12.75" x14ac:dyDescent="0.35"/>
    <row r="322" ht="12.75" x14ac:dyDescent="0.35"/>
    <row r="323" ht="12.75" x14ac:dyDescent="0.35"/>
    <row r="324" ht="12.75" x14ac:dyDescent="0.35"/>
    <row r="325" ht="12.75" x14ac:dyDescent="0.35"/>
    <row r="326" ht="12.75" x14ac:dyDescent="0.35"/>
    <row r="327" ht="12.75" x14ac:dyDescent="0.35"/>
    <row r="328" ht="12.75" x14ac:dyDescent="0.35"/>
    <row r="329" ht="12.75" x14ac:dyDescent="0.35"/>
    <row r="330" ht="12.75" x14ac:dyDescent="0.35"/>
    <row r="331" ht="12.75" x14ac:dyDescent="0.35"/>
    <row r="332" ht="12.75" x14ac:dyDescent="0.35"/>
    <row r="333" ht="12.75" x14ac:dyDescent="0.35"/>
    <row r="334" ht="12.75" x14ac:dyDescent="0.35"/>
    <row r="335" ht="12.75" x14ac:dyDescent="0.35"/>
    <row r="336" ht="12.75" x14ac:dyDescent="0.35"/>
    <row r="337" ht="12.75" x14ac:dyDescent="0.35"/>
    <row r="338" ht="12.75" x14ac:dyDescent="0.35"/>
    <row r="339" ht="12.75" x14ac:dyDescent="0.35"/>
    <row r="340" ht="12.75" x14ac:dyDescent="0.35"/>
    <row r="341" ht="12.75" x14ac:dyDescent="0.35"/>
    <row r="342" ht="12.75" x14ac:dyDescent="0.35"/>
    <row r="343" ht="12.75" x14ac:dyDescent="0.35"/>
    <row r="344" ht="12.75" x14ac:dyDescent="0.35"/>
    <row r="345" ht="12.75" x14ac:dyDescent="0.35"/>
    <row r="346" ht="12.75" x14ac:dyDescent="0.35"/>
    <row r="347" ht="12.75" x14ac:dyDescent="0.35"/>
    <row r="348" ht="12.75" x14ac:dyDescent="0.35"/>
    <row r="349" ht="12.75" x14ac:dyDescent="0.35"/>
    <row r="350" ht="12.75" x14ac:dyDescent="0.35"/>
    <row r="351" ht="12.75" x14ac:dyDescent="0.35"/>
    <row r="352" ht="12.75" x14ac:dyDescent="0.35"/>
    <row r="353" ht="12.75" x14ac:dyDescent="0.35"/>
    <row r="354" ht="12.75" x14ac:dyDescent="0.35"/>
    <row r="355" ht="12.75" x14ac:dyDescent="0.35"/>
    <row r="356" ht="12.75" x14ac:dyDescent="0.35"/>
    <row r="357" ht="12.75" x14ac:dyDescent="0.35"/>
    <row r="358" ht="12.75" x14ac:dyDescent="0.35"/>
    <row r="359" ht="12.75" x14ac:dyDescent="0.35"/>
    <row r="360" ht="12.75" x14ac:dyDescent="0.35"/>
    <row r="361" ht="12.75" x14ac:dyDescent="0.35"/>
    <row r="362" ht="12.75" x14ac:dyDescent="0.35"/>
    <row r="363" ht="12.75" x14ac:dyDescent="0.35"/>
    <row r="364" ht="12.75" x14ac:dyDescent="0.35"/>
    <row r="365" ht="12.75" x14ac:dyDescent="0.35"/>
    <row r="366" ht="12.75" x14ac:dyDescent="0.35"/>
    <row r="367" ht="12.75" x14ac:dyDescent="0.35"/>
    <row r="368" ht="12.75" x14ac:dyDescent="0.35"/>
    <row r="369" ht="12.75" x14ac:dyDescent="0.35"/>
    <row r="370" ht="12.75" x14ac:dyDescent="0.35"/>
    <row r="371" ht="12.75" x14ac:dyDescent="0.35"/>
    <row r="372" ht="12.75" x14ac:dyDescent="0.35"/>
    <row r="373" ht="12.75" x14ac:dyDescent="0.35"/>
    <row r="374" ht="12.75" x14ac:dyDescent="0.35"/>
    <row r="375" ht="12.75" x14ac:dyDescent="0.35"/>
    <row r="376" ht="12.75" x14ac:dyDescent="0.35"/>
    <row r="377" ht="12.75" x14ac:dyDescent="0.35"/>
    <row r="378" ht="12.75" x14ac:dyDescent="0.35"/>
    <row r="379" ht="12.75" x14ac:dyDescent="0.35"/>
    <row r="380" ht="12.75" x14ac:dyDescent="0.35"/>
    <row r="381" ht="12.75" x14ac:dyDescent="0.35"/>
    <row r="382" ht="12.75" x14ac:dyDescent="0.35"/>
    <row r="383" ht="12.75" x14ac:dyDescent="0.35"/>
    <row r="384" ht="12.75" x14ac:dyDescent="0.35"/>
    <row r="385" ht="12.75" x14ac:dyDescent="0.35"/>
    <row r="386" ht="12.75" x14ac:dyDescent="0.35"/>
    <row r="387" ht="12.75" x14ac:dyDescent="0.35"/>
    <row r="388" ht="12.75" x14ac:dyDescent="0.35"/>
    <row r="389" ht="12.75" x14ac:dyDescent="0.35"/>
    <row r="390" ht="12.75" x14ac:dyDescent="0.35"/>
    <row r="391" ht="12.75" x14ac:dyDescent="0.35"/>
    <row r="392" ht="12.75" x14ac:dyDescent="0.35"/>
    <row r="393" ht="12.75" x14ac:dyDescent="0.35"/>
    <row r="394" ht="12.75" x14ac:dyDescent="0.35"/>
    <row r="395" ht="12.75" x14ac:dyDescent="0.35"/>
    <row r="396" ht="12.75" x14ac:dyDescent="0.35"/>
    <row r="397" ht="12.75" x14ac:dyDescent="0.35"/>
    <row r="398" ht="12.75" x14ac:dyDescent="0.35"/>
    <row r="399" ht="12.75" x14ac:dyDescent="0.35"/>
    <row r="400" ht="12.75" x14ac:dyDescent="0.35"/>
    <row r="401" ht="12.75" x14ac:dyDescent="0.35"/>
    <row r="402" ht="12.75" x14ac:dyDescent="0.35"/>
    <row r="403" ht="12.75" x14ac:dyDescent="0.35"/>
    <row r="404" ht="12.75" x14ac:dyDescent="0.35"/>
    <row r="405" ht="12.75" x14ac:dyDescent="0.35"/>
    <row r="406" ht="12.75" x14ac:dyDescent="0.35"/>
    <row r="407" ht="12.75" x14ac:dyDescent="0.35"/>
    <row r="408" ht="12.75" x14ac:dyDescent="0.35"/>
    <row r="409" ht="12.75" x14ac:dyDescent="0.35"/>
    <row r="410" ht="12.75" x14ac:dyDescent="0.35"/>
    <row r="411" ht="12.75" x14ac:dyDescent="0.35"/>
    <row r="412" ht="12.75" x14ac:dyDescent="0.35"/>
    <row r="413" ht="12.75" x14ac:dyDescent="0.35"/>
    <row r="414" ht="12.75" x14ac:dyDescent="0.35"/>
    <row r="415" ht="12.75" x14ac:dyDescent="0.35"/>
    <row r="416" ht="12.75" x14ac:dyDescent="0.35"/>
    <row r="417" ht="12.75" x14ac:dyDescent="0.35"/>
    <row r="418" ht="12.75" x14ac:dyDescent="0.35"/>
    <row r="419" ht="12.75" x14ac:dyDescent="0.35"/>
    <row r="420" ht="12.75" x14ac:dyDescent="0.35"/>
    <row r="421" ht="12.75" x14ac:dyDescent="0.35"/>
    <row r="422" ht="12.75" x14ac:dyDescent="0.35"/>
    <row r="423" ht="12.75" x14ac:dyDescent="0.35"/>
    <row r="424" ht="12.75" x14ac:dyDescent="0.35"/>
    <row r="425" ht="12.75" x14ac:dyDescent="0.35"/>
    <row r="426" ht="12.75" x14ac:dyDescent="0.35"/>
    <row r="427" ht="12.75" x14ac:dyDescent="0.35"/>
    <row r="428" ht="12.75" x14ac:dyDescent="0.35"/>
    <row r="429" ht="12.75" x14ac:dyDescent="0.35"/>
    <row r="430" ht="12.75" x14ac:dyDescent="0.35"/>
    <row r="431" ht="12.75" x14ac:dyDescent="0.35"/>
    <row r="432" ht="12.75" x14ac:dyDescent="0.35"/>
    <row r="433" ht="12.75" x14ac:dyDescent="0.35"/>
    <row r="434" ht="12.75" x14ac:dyDescent="0.35"/>
    <row r="435" ht="12.75" x14ac:dyDescent="0.35"/>
    <row r="436" ht="12.75" x14ac:dyDescent="0.35"/>
    <row r="437" ht="12.75" x14ac:dyDescent="0.35"/>
    <row r="438" ht="12.75" x14ac:dyDescent="0.35"/>
    <row r="439" ht="12.75" x14ac:dyDescent="0.35"/>
    <row r="440" ht="12.75" x14ac:dyDescent="0.35"/>
    <row r="441" ht="12.75" x14ac:dyDescent="0.35"/>
    <row r="442" ht="12.75" x14ac:dyDescent="0.35"/>
    <row r="443" ht="12.75" x14ac:dyDescent="0.35"/>
    <row r="444" ht="12.75" x14ac:dyDescent="0.35"/>
    <row r="445" ht="12.75" x14ac:dyDescent="0.35"/>
    <row r="446" ht="12.75" x14ac:dyDescent="0.35"/>
    <row r="447" ht="12.75" x14ac:dyDescent="0.35"/>
    <row r="448" ht="12.75" x14ac:dyDescent="0.35"/>
    <row r="449" ht="12.75" x14ac:dyDescent="0.35"/>
    <row r="450" ht="12.75" x14ac:dyDescent="0.35"/>
    <row r="451" ht="12.75" x14ac:dyDescent="0.35"/>
    <row r="452" ht="12.75" x14ac:dyDescent="0.35"/>
    <row r="453" ht="12.75" x14ac:dyDescent="0.35"/>
    <row r="454" ht="12.75" x14ac:dyDescent="0.35"/>
    <row r="455" ht="12.75" x14ac:dyDescent="0.35"/>
    <row r="456" ht="12.75" x14ac:dyDescent="0.35"/>
    <row r="457" ht="12.75" x14ac:dyDescent="0.35"/>
    <row r="458" ht="12.75" x14ac:dyDescent="0.35"/>
    <row r="459" ht="12.75" x14ac:dyDescent="0.35"/>
    <row r="460" ht="12.75" x14ac:dyDescent="0.35"/>
    <row r="461" ht="12.75" x14ac:dyDescent="0.35"/>
    <row r="462" ht="12.75" x14ac:dyDescent="0.35"/>
    <row r="463" ht="12.75" x14ac:dyDescent="0.35"/>
    <row r="464" ht="12.75" x14ac:dyDescent="0.35"/>
    <row r="465" ht="12.75" x14ac:dyDescent="0.35"/>
    <row r="466" ht="12.75" x14ac:dyDescent="0.35"/>
    <row r="467" ht="12.75" x14ac:dyDescent="0.35"/>
    <row r="468" ht="12.75" x14ac:dyDescent="0.35"/>
    <row r="469" ht="12.75" x14ac:dyDescent="0.35"/>
    <row r="470" ht="12.75" x14ac:dyDescent="0.35"/>
    <row r="471" ht="12.75" x14ac:dyDescent="0.35"/>
    <row r="472" ht="12.75" x14ac:dyDescent="0.35"/>
    <row r="473" ht="12.75" x14ac:dyDescent="0.35"/>
    <row r="474" ht="12.75" x14ac:dyDescent="0.35"/>
    <row r="475" ht="12.75" x14ac:dyDescent="0.35"/>
    <row r="476" ht="12.75" x14ac:dyDescent="0.35"/>
    <row r="477" ht="12.75" x14ac:dyDescent="0.35"/>
    <row r="478" ht="12.75" x14ac:dyDescent="0.35"/>
    <row r="479" ht="12.75" x14ac:dyDescent="0.35"/>
    <row r="480" ht="12.75" x14ac:dyDescent="0.35"/>
    <row r="481" ht="12.75" x14ac:dyDescent="0.35"/>
    <row r="482" ht="12.75" x14ac:dyDescent="0.35"/>
    <row r="483" ht="12.75" x14ac:dyDescent="0.35"/>
    <row r="484" ht="12.75" x14ac:dyDescent="0.35"/>
    <row r="485" ht="12.75" x14ac:dyDescent="0.35"/>
    <row r="486" ht="12.75" x14ac:dyDescent="0.35"/>
    <row r="487" ht="12.75" x14ac:dyDescent="0.35"/>
    <row r="488" ht="12.75" x14ac:dyDescent="0.35"/>
    <row r="489" ht="12.75" x14ac:dyDescent="0.35"/>
    <row r="490" ht="12.75" x14ac:dyDescent="0.35"/>
    <row r="491" ht="12.75" x14ac:dyDescent="0.35"/>
    <row r="492" ht="12.75" x14ac:dyDescent="0.35"/>
    <row r="493" ht="12.75" x14ac:dyDescent="0.35"/>
    <row r="494" ht="12.75" x14ac:dyDescent="0.35"/>
    <row r="495" ht="12.75" x14ac:dyDescent="0.35"/>
    <row r="496" ht="12.75" x14ac:dyDescent="0.35"/>
    <row r="497" ht="12.75" x14ac:dyDescent="0.35"/>
    <row r="498" ht="12.75" x14ac:dyDescent="0.35"/>
    <row r="499" ht="12.75" x14ac:dyDescent="0.35"/>
    <row r="500" ht="12.75" x14ac:dyDescent="0.35"/>
    <row r="501" ht="12.75" x14ac:dyDescent="0.35"/>
    <row r="502" ht="12.75" x14ac:dyDescent="0.35"/>
    <row r="503" ht="12.75" x14ac:dyDescent="0.35"/>
    <row r="504" ht="12.75" x14ac:dyDescent="0.35"/>
    <row r="505" ht="12.75" x14ac:dyDescent="0.35"/>
    <row r="506" ht="12.75" x14ac:dyDescent="0.35"/>
    <row r="507" ht="12.75" x14ac:dyDescent="0.35"/>
    <row r="508" ht="12.75" x14ac:dyDescent="0.35"/>
    <row r="509" ht="12.75" x14ac:dyDescent="0.35"/>
    <row r="510" ht="12.75" x14ac:dyDescent="0.35"/>
    <row r="511" ht="12.75" x14ac:dyDescent="0.35"/>
    <row r="512" ht="12.75" x14ac:dyDescent="0.35"/>
    <row r="513" ht="12.75" x14ac:dyDescent="0.35"/>
    <row r="514" ht="12.75" x14ac:dyDescent="0.35"/>
    <row r="515" ht="12.75" x14ac:dyDescent="0.35"/>
    <row r="516" ht="12.75" x14ac:dyDescent="0.35"/>
    <row r="517" ht="12.75" x14ac:dyDescent="0.35"/>
    <row r="518" ht="12.75" x14ac:dyDescent="0.35"/>
    <row r="519" ht="12.75" x14ac:dyDescent="0.35"/>
    <row r="520" ht="12.75" x14ac:dyDescent="0.35"/>
    <row r="521" ht="12.75" x14ac:dyDescent="0.35"/>
    <row r="522" ht="12.75" x14ac:dyDescent="0.35"/>
    <row r="523" ht="12.75" x14ac:dyDescent="0.35"/>
    <row r="524" ht="12.75" x14ac:dyDescent="0.35"/>
    <row r="525" ht="12.75" x14ac:dyDescent="0.35"/>
    <row r="526" ht="12.75" x14ac:dyDescent="0.35"/>
    <row r="527" ht="12.75" x14ac:dyDescent="0.35"/>
    <row r="528" ht="12.75" x14ac:dyDescent="0.35"/>
    <row r="529" ht="12.75" x14ac:dyDescent="0.35"/>
    <row r="530" ht="12.75" x14ac:dyDescent="0.35"/>
    <row r="531" ht="12.75" x14ac:dyDescent="0.35"/>
    <row r="532" ht="12.75" x14ac:dyDescent="0.35"/>
    <row r="533" ht="12.75" x14ac:dyDescent="0.35"/>
    <row r="534" ht="12.75" x14ac:dyDescent="0.35"/>
    <row r="535" ht="12.75" x14ac:dyDescent="0.35"/>
    <row r="536" ht="12.75" x14ac:dyDescent="0.35"/>
    <row r="537" ht="12.75" x14ac:dyDescent="0.35"/>
    <row r="538" ht="12.75" x14ac:dyDescent="0.35"/>
    <row r="539" ht="12.75" x14ac:dyDescent="0.35"/>
    <row r="540" ht="12.75" x14ac:dyDescent="0.35"/>
    <row r="541" ht="12.75" x14ac:dyDescent="0.35"/>
    <row r="542" ht="12.75" x14ac:dyDescent="0.35"/>
    <row r="543" ht="12.75" x14ac:dyDescent="0.35"/>
    <row r="544" ht="12.75" x14ac:dyDescent="0.35"/>
    <row r="545" ht="12.75" x14ac:dyDescent="0.35"/>
    <row r="546" ht="12.75" x14ac:dyDescent="0.35"/>
    <row r="547" ht="12.75" x14ac:dyDescent="0.35"/>
    <row r="548" ht="12.75" x14ac:dyDescent="0.35"/>
    <row r="549" ht="12.75" x14ac:dyDescent="0.35"/>
    <row r="550" ht="12.75" x14ac:dyDescent="0.35"/>
    <row r="551" ht="12.75" x14ac:dyDescent="0.35"/>
    <row r="552" ht="12.75" x14ac:dyDescent="0.35"/>
    <row r="553" ht="12.75" x14ac:dyDescent="0.35"/>
    <row r="554" ht="12.75" x14ac:dyDescent="0.35"/>
    <row r="555" ht="12.75" x14ac:dyDescent="0.35"/>
    <row r="556" ht="12.75" x14ac:dyDescent="0.35"/>
    <row r="557" ht="12.75" x14ac:dyDescent="0.35"/>
    <row r="558" ht="12.75" x14ac:dyDescent="0.35"/>
    <row r="559" ht="12.75" x14ac:dyDescent="0.35"/>
    <row r="560" ht="12.75" x14ac:dyDescent="0.35"/>
    <row r="561" ht="12.75" x14ac:dyDescent="0.35"/>
    <row r="562" ht="12.75" x14ac:dyDescent="0.35"/>
    <row r="563" ht="12.75" x14ac:dyDescent="0.35"/>
    <row r="564" ht="12.75" x14ac:dyDescent="0.35"/>
    <row r="565" ht="12.75" x14ac:dyDescent="0.35"/>
    <row r="566" ht="12.75" x14ac:dyDescent="0.35"/>
    <row r="567" ht="12.75" x14ac:dyDescent="0.35"/>
    <row r="568" ht="12.75" x14ac:dyDescent="0.35"/>
    <row r="569" ht="12.75" x14ac:dyDescent="0.35"/>
    <row r="570" ht="12.75" x14ac:dyDescent="0.35"/>
    <row r="571" ht="12.75" x14ac:dyDescent="0.35"/>
    <row r="572" ht="12.75" x14ac:dyDescent="0.35"/>
    <row r="573" ht="12.75" x14ac:dyDescent="0.35"/>
    <row r="574" ht="12.75" x14ac:dyDescent="0.35"/>
    <row r="575" ht="12.75" x14ac:dyDescent="0.35"/>
    <row r="576" ht="12.75" x14ac:dyDescent="0.35"/>
    <row r="577" ht="12.75" x14ac:dyDescent="0.35"/>
    <row r="578" ht="12.75" x14ac:dyDescent="0.35"/>
    <row r="579" ht="12.75" x14ac:dyDescent="0.35"/>
    <row r="580" ht="12.75" x14ac:dyDescent="0.35"/>
    <row r="581" ht="12.75" x14ac:dyDescent="0.35"/>
    <row r="582" ht="12.75" x14ac:dyDescent="0.35"/>
    <row r="583" ht="12.75" x14ac:dyDescent="0.35"/>
    <row r="584" ht="12.75" x14ac:dyDescent="0.35"/>
    <row r="585" ht="12.75" x14ac:dyDescent="0.35"/>
    <row r="586" ht="12.75" x14ac:dyDescent="0.35"/>
    <row r="587" ht="12.75" x14ac:dyDescent="0.35"/>
    <row r="588" ht="12.75" x14ac:dyDescent="0.35"/>
    <row r="589" ht="12.75" x14ac:dyDescent="0.35"/>
    <row r="590" ht="12.75" x14ac:dyDescent="0.35"/>
    <row r="591" ht="12.75" x14ac:dyDescent="0.35"/>
    <row r="592" ht="12.75" x14ac:dyDescent="0.35"/>
    <row r="593" ht="12.75" x14ac:dyDescent="0.35"/>
    <row r="594" ht="12.75" x14ac:dyDescent="0.35"/>
    <row r="595" ht="12.75" x14ac:dyDescent="0.35"/>
    <row r="596" ht="12.75" x14ac:dyDescent="0.35"/>
    <row r="597" ht="12.75" x14ac:dyDescent="0.35"/>
    <row r="598" ht="12.75" x14ac:dyDescent="0.35"/>
    <row r="599" ht="12.75" x14ac:dyDescent="0.35"/>
    <row r="600" ht="12.75" x14ac:dyDescent="0.35"/>
    <row r="601" ht="12.75" x14ac:dyDescent="0.35"/>
    <row r="602" ht="12.75" x14ac:dyDescent="0.35"/>
    <row r="603" ht="12.75" x14ac:dyDescent="0.35"/>
    <row r="604" ht="12.75" x14ac:dyDescent="0.35"/>
    <row r="605" ht="12.75" x14ac:dyDescent="0.35"/>
    <row r="606" ht="12.75" x14ac:dyDescent="0.35"/>
    <row r="607" ht="12.75" x14ac:dyDescent="0.35"/>
    <row r="608" ht="12.75" x14ac:dyDescent="0.35"/>
    <row r="609" ht="12.75" x14ac:dyDescent="0.35"/>
    <row r="610" ht="12.75" x14ac:dyDescent="0.35"/>
    <row r="611" ht="12.75" x14ac:dyDescent="0.35"/>
    <row r="612" ht="12.75" x14ac:dyDescent="0.35"/>
    <row r="613" ht="12.75" x14ac:dyDescent="0.35"/>
    <row r="614" ht="12.75" x14ac:dyDescent="0.35"/>
    <row r="615" ht="12.75" x14ac:dyDescent="0.35"/>
    <row r="616" ht="12.75" x14ac:dyDescent="0.35"/>
    <row r="617" ht="12.75" x14ac:dyDescent="0.35"/>
    <row r="618" ht="12.75" x14ac:dyDescent="0.35"/>
    <row r="619" ht="12.75" x14ac:dyDescent="0.35"/>
    <row r="620" ht="12.75" x14ac:dyDescent="0.35"/>
    <row r="621" ht="12.75" x14ac:dyDescent="0.35"/>
    <row r="622" ht="12.75" x14ac:dyDescent="0.35"/>
    <row r="623" ht="12.75" x14ac:dyDescent="0.35"/>
    <row r="624" ht="12.75" x14ac:dyDescent="0.35"/>
    <row r="625" ht="12.75" x14ac:dyDescent="0.35"/>
    <row r="626" ht="12.75" x14ac:dyDescent="0.35"/>
    <row r="627" ht="12.75" x14ac:dyDescent="0.35"/>
    <row r="628" ht="12.75" x14ac:dyDescent="0.35"/>
    <row r="629" ht="12.75" x14ac:dyDescent="0.35"/>
    <row r="630" ht="12.75" x14ac:dyDescent="0.35"/>
    <row r="631" ht="12.75" x14ac:dyDescent="0.35"/>
    <row r="632" ht="12.75" x14ac:dyDescent="0.35"/>
    <row r="633" ht="12.75" x14ac:dyDescent="0.35"/>
    <row r="634" ht="12.75" x14ac:dyDescent="0.35"/>
    <row r="635" ht="12.75" x14ac:dyDescent="0.35"/>
    <row r="636" ht="12.75" x14ac:dyDescent="0.35"/>
    <row r="637" ht="12.75" x14ac:dyDescent="0.35"/>
    <row r="638" ht="12.75" x14ac:dyDescent="0.35"/>
    <row r="639" ht="12.75" x14ac:dyDescent="0.35"/>
    <row r="640" ht="12.75" x14ac:dyDescent="0.35"/>
    <row r="641" ht="12.75" x14ac:dyDescent="0.35"/>
    <row r="642" ht="12.75" x14ac:dyDescent="0.35"/>
    <row r="643" ht="12.75" x14ac:dyDescent="0.35"/>
    <row r="644" ht="12.75" x14ac:dyDescent="0.35"/>
    <row r="645" ht="12.75" x14ac:dyDescent="0.35"/>
    <row r="646" ht="12.75" x14ac:dyDescent="0.35"/>
    <row r="647" ht="12.75" x14ac:dyDescent="0.35"/>
    <row r="648" ht="12.75" x14ac:dyDescent="0.35"/>
    <row r="649" ht="12.75" x14ac:dyDescent="0.35"/>
    <row r="650" ht="12.75" x14ac:dyDescent="0.35"/>
    <row r="651" ht="12.75" x14ac:dyDescent="0.35"/>
    <row r="652" ht="12.75" x14ac:dyDescent="0.35"/>
    <row r="653" ht="12.75" x14ac:dyDescent="0.35"/>
    <row r="654" ht="12.75" x14ac:dyDescent="0.35"/>
    <row r="655" ht="12.75" x14ac:dyDescent="0.35"/>
    <row r="656" ht="12.75" x14ac:dyDescent="0.35"/>
    <row r="657" ht="12.75" x14ac:dyDescent="0.35"/>
    <row r="658" ht="12.75" x14ac:dyDescent="0.35"/>
    <row r="659" ht="12.75" x14ac:dyDescent="0.35"/>
    <row r="660" ht="12.75" x14ac:dyDescent="0.35"/>
    <row r="661" ht="12.75" x14ac:dyDescent="0.35"/>
    <row r="662" ht="12.75" x14ac:dyDescent="0.35"/>
    <row r="663" ht="12.75" x14ac:dyDescent="0.35"/>
    <row r="664" ht="12.75" x14ac:dyDescent="0.35"/>
    <row r="665" ht="12.75" x14ac:dyDescent="0.35"/>
    <row r="666" ht="12.75" x14ac:dyDescent="0.35"/>
    <row r="667" ht="12.75" x14ac:dyDescent="0.35"/>
    <row r="668" ht="12.75" x14ac:dyDescent="0.35"/>
    <row r="669" ht="12.75" x14ac:dyDescent="0.35"/>
    <row r="670" ht="12.75" x14ac:dyDescent="0.35"/>
    <row r="671" ht="12.75" x14ac:dyDescent="0.35"/>
    <row r="672" ht="12.75" x14ac:dyDescent="0.35"/>
    <row r="673" ht="12.75" x14ac:dyDescent="0.35"/>
    <row r="674" ht="12.75" x14ac:dyDescent="0.35"/>
    <row r="675" ht="12.75" x14ac:dyDescent="0.35"/>
    <row r="676" ht="12.75" x14ac:dyDescent="0.35"/>
    <row r="677" ht="12.75" x14ac:dyDescent="0.35"/>
    <row r="678" ht="12.75" x14ac:dyDescent="0.35"/>
    <row r="679" ht="12.75" x14ac:dyDescent="0.35"/>
    <row r="680" ht="12.75" x14ac:dyDescent="0.35"/>
    <row r="681" ht="12.75" x14ac:dyDescent="0.35"/>
    <row r="682" ht="12.75" x14ac:dyDescent="0.35"/>
    <row r="683" ht="12.75" x14ac:dyDescent="0.35"/>
    <row r="684" ht="12.75" x14ac:dyDescent="0.35"/>
    <row r="685" ht="12.75" x14ac:dyDescent="0.35"/>
    <row r="686" ht="12.75" x14ac:dyDescent="0.35"/>
    <row r="687" ht="12.75" x14ac:dyDescent="0.35"/>
    <row r="688" ht="12.75" x14ac:dyDescent="0.35"/>
    <row r="689" ht="12.75" x14ac:dyDescent="0.35"/>
    <row r="690" ht="12.75" x14ac:dyDescent="0.35"/>
    <row r="691" ht="12.75" x14ac:dyDescent="0.35"/>
    <row r="692" ht="12.75" x14ac:dyDescent="0.35"/>
    <row r="693" ht="12.75" x14ac:dyDescent="0.35"/>
    <row r="694" ht="12.75" x14ac:dyDescent="0.35"/>
    <row r="695" ht="12.75" x14ac:dyDescent="0.35"/>
    <row r="696" ht="12.75" x14ac:dyDescent="0.35"/>
    <row r="697" ht="12.75" x14ac:dyDescent="0.35"/>
    <row r="698" ht="12.75" x14ac:dyDescent="0.35"/>
    <row r="699" ht="12.75" x14ac:dyDescent="0.35"/>
    <row r="700" ht="12.75" x14ac:dyDescent="0.35"/>
    <row r="701" ht="12.75" x14ac:dyDescent="0.35"/>
    <row r="702" ht="12.75" x14ac:dyDescent="0.35"/>
    <row r="703" ht="12.75" x14ac:dyDescent="0.35"/>
    <row r="704" ht="12.75" x14ac:dyDescent="0.35"/>
    <row r="705" ht="12.75" x14ac:dyDescent="0.35"/>
    <row r="706" ht="12.75" x14ac:dyDescent="0.35"/>
    <row r="707" ht="12.75" x14ac:dyDescent="0.35"/>
    <row r="708" ht="12.75" x14ac:dyDescent="0.35"/>
    <row r="709" ht="12.75" x14ac:dyDescent="0.35"/>
    <row r="710" ht="12.75" x14ac:dyDescent="0.35"/>
    <row r="711" ht="12.75" x14ac:dyDescent="0.35"/>
    <row r="712" ht="12.75" x14ac:dyDescent="0.35"/>
    <row r="713" ht="12.75" x14ac:dyDescent="0.35"/>
    <row r="714" ht="12.75" x14ac:dyDescent="0.35"/>
    <row r="715" ht="12.75" x14ac:dyDescent="0.35"/>
    <row r="716" ht="12.75" x14ac:dyDescent="0.35"/>
    <row r="717" ht="12.75" x14ac:dyDescent="0.35"/>
    <row r="718" ht="12.75" x14ac:dyDescent="0.35"/>
    <row r="719" ht="12.75" x14ac:dyDescent="0.35"/>
    <row r="720" ht="12.75" x14ac:dyDescent="0.35"/>
    <row r="721" ht="12.75" x14ac:dyDescent="0.35"/>
    <row r="722" ht="12.75" x14ac:dyDescent="0.35"/>
    <row r="723" ht="12.75" x14ac:dyDescent="0.35"/>
    <row r="724" ht="12.75" x14ac:dyDescent="0.35"/>
    <row r="725" ht="12.75" x14ac:dyDescent="0.35"/>
    <row r="726" ht="12.75" x14ac:dyDescent="0.35"/>
    <row r="727" ht="12.75" x14ac:dyDescent="0.35"/>
    <row r="728" ht="12.75" x14ac:dyDescent="0.35"/>
    <row r="729" ht="12.75" x14ac:dyDescent="0.35"/>
    <row r="730" ht="12.75" x14ac:dyDescent="0.35"/>
    <row r="731" ht="12.75" x14ac:dyDescent="0.35"/>
    <row r="732" ht="12.75" x14ac:dyDescent="0.35"/>
    <row r="733" ht="12.75" x14ac:dyDescent="0.35"/>
    <row r="734" ht="12.75" x14ac:dyDescent="0.35"/>
    <row r="735" ht="12.75" x14ac:dyDescent="0.35"/>
    <row r="736" ht="12.75" x14ac:dyDescent="0.35"/>
    <row r="737" ht="12.75" x14ac:dyDescent="0.35"/>
    <row r="738" ht="12.75" x14ac:dyDescent="0.35"/>
    <row r="739" ht="12.75" x14ac:dyDescent="0.35"/>
    <row r="740" ht="12.75" x14ac:dyDescent="0.35"/>
    <row r="741" ht="12.75" x14ac:dyDescent="0.35"/>
    <row r="742" ht="12.75" x14ac:dyDescent="0.35"/>
    <row r="743" ht="12.75" x14ac:dyDescent="0.35"/>
    <row r="744" ht="12.75" x14ac:dyDescent="0.35"/>
    <row r="745" ht="12.75" x14ac:dyDescent="0.35"/>
    <row r="746" ht="12.75" x14ac:dyDescent="0.35"/>
    <row r="747" ht="12.75" x14ac:dyDescent="0.35"/>
    <row r="748" ht="12.75" x14ac:dyDescent="0.35"/>
    <row r="749" ht="12.75" x14ac:dyDescent="0.35"/>
    <row r="750" ht="12.75" x14ac:dyDescent="0.35"/>
    <row r="751" ht="12.75" x14ac:dyDescent="0.35"/>
    <row r="752" ht="12.75" x14ac:dyDescent="0.35"/>
    <row r="753" ht="12.75" x14ac:dyDescent="0.35"/>
    <row r="754" ht="12.75" x14ac:dyDescent="0.35"/>
    <row r="755" ht="12.75" x14ac:dyDescent="0.35"/>
    <row r="756" ht="12.75" x14ac:dyDescent="0.35"/>
    <row r="757" ht="12.75" x14ac:dyDescent="0.35"/>
    <row r="758" ht="12.75" x14ac:dyDescent="0.35"/>
    <row r="759" ht="12.75" x14ac:dyDescent="0.35"/>
    <row r="760" ht="12.75" x14ac:dyDescent="0.35"/>
    <row r="761" ht="12.75" x14ac:dyDescent="0.35"/>
    <row r="762" ht="12.75" x14ac:dyDescent="0.35"/>
    <row r="763" ht="12.75" x14ac:dyDescent="0.35"/>
    <row r="764" ht="12.75" x14ac:dyDescent="0.35"/>
    <row r="765" ht="12.75" x14ac:dyDescent="0.35"/>
    <row r="766" ht="12.75" x14ac:dyDescent="0.35"/>
    <row r="767" ht="12.75" x14ac:dyDescent="0.35"/>
    <row r="768" ht="12.75" x14ac:dyDescent="0.35"/>
    <row r="769" ht="12.75" x14ac:dyDescent="0.35"/>
    <row r="770" ht="12.75" x14ac:dyDescent="0.35"/>
    <row r="771" ht="12.75" x14ac:dyDescent="0.35"/>
    <row r="772" ht="12.75" x14ac:dyDescent="0.35"/>
    <row r="773" ht="12.75" x14ac:dyDescent="0.35"/>
    <row r="774" ht="12.75" x14ac:dyDescent="0.35"/>
    <row r="775" ht="12.75" x14ac:dyDescent="0.35"/>
    <row r="776" ht="12.75" x14ac:dyDescent="0.35"/>
    <row r="777" ht="12.75" x14ac:dyDescent="0.35"/>
    <row r="778" ht="12.75" x14ac:dyDescent="0.35"/>
    <row r="779" ht="12.75" x14ac:dyDescent="0.35"/>
    <row r="780" ht="12.75" x14ac:dyDescent="0.35"/>
    <row r="781" ht="12.75" x14ac:dyDescent="0.35"/>
    <row r="782" ht="12.75" x14ac:dyDescent="0.35"/>
    <row r="783" ht="12.75" x14ac:dyDescent="0.35"/>
    <row r="784" ht="12.75" x14ac:dyDescent="0.35"/>
    <row r="785" ht="12.75" x14ac:dyDescent="0.35"/>
    <row r="786" ht="12.75" x14ac:dyDescent="0.35"/>
    <row r="787" ht="12.75" x14ac:dyDescent="0.35"/>
    <row r="788" ht="12.75" x14ac:dyDescent="0.35"/>
    <row r="789" ht="12.75" x14ac:dyDescent="0.35"/>
    <row r="790" ht="12.75" x14ac:dyDescent="0.35"/>
    <row r="791" ht="12.75" x14ac:dyDescent="0.35"/>
    <row r="792" ht="12.75" x14ac:dyDescent="0.35"/>
    <row r="793" ht="12.75" x14ac:dyDescent="0.35"/>
    <row r="794" ht="12.75" x14ac:dyDescent="0.35"/>
    <row r="795" ht="12.75" x14ac:dyDescent="0.35"/>
    <row r="796" ht="12.75" x14ac:dyDescent="0.35"/>
    <row r="797" ht="12.75" x14ac:dyDescent="0.35"/>
    <row r="798" ht="12.75" x14ac:dyDescent="0.35"/>
    <row r="799" ht="12.75" x14ac:dyDescent="0.35"/>
    <row r="800" ht="12.75" x14ac:dyDescent="0.35"/>
    <row r="801" ht="12.75" x14ac:dyDescent="0.35"/>
    <row r="802" ht="12.75" x14ac:dyDescent="0.35"/>
    <row r="803" ht="12.75" x14ac:dyDescent="0.35"/>
    <row r="804" ht="12.75" x14ac:dyDescent="0.35"/>
    <row r="805" ht="12.75" x14ac:dyDescent="0.35"/>
    <row r="806" ht="12.75" x14ac:dyDescent="0.35"/>
    <row r="807" ht="12.75" x14ac:dyDescent="0.35"/>
    <row r="808" ht="12.75" x14ac:dyDescent="0.35"/>
    <row r="809" ht="12.75" x14ac:dyDescent="0.35"/>
    <row r="810" ht="12.75" x14ac:dyDescent="0.35"/>
    <row r="811" ht="12.75" x14ac:dyDescent="0.35"/>
    <row r="812" ht="12.75" x14ac:dyDescent="0.35"/>
    <row r="813" ht="12.75" x14ac:dyDescent="0.35"/>
    <row r="814" ht="12.75" x14ac:dyDescent="0.35"/>
    <row r="815" ht="12.75" x14ac:dyDescent="0.35"/>
    <row r="816" ht="12.75" x14ac:dyDescent="0.35"/>
    <row r="817" ht="12.75" x14ac:dyDescent="0.35"/>
    <row r="818" ht="12.75" x14ac:dyDescent="0.35"/>
    <row r="819" ht="12.75" x14ac:dyDescent="0.35"/>
    <row r="820" ht="12.75" x14ac:dyDescent="0.35"/>
    <row r="821" ht="12.75" x14ac:dyDescent="0.35"/>
    <row r="822" ht="12.75" x14ac:dyDescent="0.35"/>
    <row r="823" ht="12.75" x14ac:dyDescent="0.35"/>
    <row r="824" ht="12.75" x14ac:dyDescent="0.35"/>
    <row r="825" ht="12.75" x14ac:dyDescent="0.35"/>
    <row r="826" ht="12.75" x14ac:dyDescent="0.35"/>
    <row r="827" ht="12.75" x14ac:dyDescent="0.35"/>
    <row r="828" ht="12.75" x14ac:dyDescent="0.35"/>
    <row r="829" ht="12.75" x14ac:dyDescent="0.35"/>
    <row r="830" ht="12.75" x14ac:dyDescent="0.35"/>
    <row r="831" ht="12.75" x14ac:dyDescent="0.35"/>
    <row r="832" ht="12.75" x14ac:dyDescent="0.35"/>
    <row r="833" ht="12.75" x14ac:dyDescent="0.35"/>
    <row r="834" ht="12.75" x14ac:dyDescent="0.35"/>
    <row r="835" ht="12.75" x14ac:dyDescent="0.35"/>
    <row r="836" ht="12.75" x14ac:dyDescent="0.35"/>
    <row r="837" ht="12.75" x14ac:dyDescent="0.35"/>
    <row r="838" ht="12.75" x14ac:dyDescent="0.35"/>
    <row r="839" ht="12.75" x14ac:dyDescent="0.35"/>
    <row r="840" ht="12.75" x14ac:dyDescent="0.35"/>
    <row r="841" ht="12.75" x14ac:dyDescent="0.35"/>
    <row r="842" ht="12.75" x14ac:dyDescent="0.35"/>
    <row r="843" ht="12.75" x14ac:dyDescent="0.35"/>
    <row r="844" ht="12.75" x14ac:dyDescent="0.35"/>
    <row r="845" ht="12.75" x14ac:dyDescent="0.35"/>
    <row r="846" ht="12.75" x14ac:dyDescent="0.35"/>
    <row r="847" ht="12.75" x14ac:dyDescent="0.35"/>
    <row r="848" ht="12.75" x14ac:dyDescent="0.35"/>
    <row r="849" ht="12.75" x14ac:dyDescent="0.35"/>
    <row r="850" ht="12.75" x14ac:dyDescent="0.35"/>
    <row r="851" ht="12.75" x14ac:dyDescent="0.35"/>
    <row r="852" ht="12.75" x14ac:dyDescent="0.35"/>
    <row r="853" ht="12.75" x14ac:dyDescent="0.35"/>
    <row r="854" ht="12.75" x14ac:dyDescent="0.35"/>
    <row r="855" ht="12.75" x14ac:dyDescent="0.35"/>
    <row r="856" ht="12.75" x14ac:dyDescent="0.35"/>
    <row r="857" ht="12.75" x14ac:dyDescent="0.35"/>
    <row r="858" ht="12.75" x14ac:dyDescent="0.35"/>
    <row r="859" ht="12.75" x14ac:dyDescent="0.35"/>
    <row r="860" ht="12.75" x14ac:dyDescent="0.35"/>
    <row r="861" ht="12.75" x14ac:dyDescent="0.35"/>
    <row r="862" ht="12.75" x14ac:dyDescent="0.35"/>
    <row r="863" ht="12.75" x14ac:dyDescent="0.35"/>
    <row r="864" ht="12.75" x14ac:dyDescent="0.35"/>
    <row r="865" ht="12.75" x14ac:dyDescent="0.35"/>
    <row r="866" ht="12.75" x14ac:dyDescent="0.35"/>
    <row r="867" ht="12.75" x14ac:dyDescent="0.35"/>
    <row r="868" ht="12.75" x14ac:dyDescent="0.35"/>
    <row r="869" ht="12.75" x14ac:dyDescent="0.35"/>
    <row r="870" ht="12.75" x14ac:dyDescent="0.35"/>
    <row r="871" ht="12.75" x14ac:dyDescent="0.35"/>
    <row r="872" ht="12.75" x14ac:dyDescent="0.35"/>
    <row r="873" ht="12.75" x14ac:dyDescent="0.35"/>
    <row r="874" ht="12.75" x14ac:dyDescent="0.35"/>
    <row r="875" ht="12.75" x14ac:dyDescent="0.35"/>
    <row r="876" ht="12.75" x14ac:dyDescent="0.35"/>
    <row r="877" ht="12.75" x14ac:dyDescent="0.35"/>
    <row r="878" ht="12.75" x14ac:dyDescent="0.35"/>
    <row r="879" ht="12.75" x14ac:dyDescent="0.35"/>
    <row r="880" ht="12.75" x14ac:dyDescent="0.35"/>
    <row r="881" ht="12.75" x14ac:dyDescent="0.35"/>
    <row r="882" ht="12.75" x14ac:dyDescent="0.35"/>
    <row r="883" ht="12.75" x14ac:dyDescent="0.35"/>
    <row r="884" ht="12.75" x14ac:dyDescent="0.35"/>
    <row r="885" ht="12.75" x14ac:dyDescent="0.35"/>
    <row r="886" ht="12.75" x14ac:dyDescent="0.35"/>
    <row r="887" ht="12.75" x14ac:dyDescent="0.35"/>
    <row r="888" ht="12.75" x14ac:dyDescent="0.35"/>
    <row r="889" ht="12.75" x14ac:dyDescent="0.35"/>
    <row r="890" ht="12.75" x14ac:dyDescent="0.35"/>
    <row r="891" ht="12.75" x14ac:dyDescent="0.35"/>
    <row r="892" ht="12.75" x14ac:dyDescent="0.35"/>
    <row r="893" ht="12.75" x14ac:dyDescent="0.35"/>
    <row r="894" ht="12.75" x14ac:dyDescent="0.35"/>
    <row r="895" ht="12.75" x14ac:dyDescent="0.35"/>
    <row r="896" ht="12.75" x14ac:dyDescent="0.35"/>
    <row r="897" ht="12.75" x14ac:dyDescent="0.35"/>
    <row r="898" ht="12.75" x14ac:dyDescent="0.35"/>
    <row r="899" ht="12.75" x14ac:dyDescent="0.35"/>
    <row r="900" ht="12.75" x14ac:dyDescent="0.35"/>
    <row r="901" ht="12.75" x14ac:dyDescent="0.35"/>
    <row r="902" ht="12.75" x14ac:dyDescent="0.35"/>
    <row r="903" ht="12.75" x14ac:dyDescent="0.35"/>
    <row r="904" ht="12.75" x14ac:dyDescent="0.35"/>
    <row r="905" ht="12.75" x14ac:dyDescent="0.35"/>
    <row r="906" ht="12.75" x14ac:dyDescent="0.35"/>
    <row r="907" ht="12.75" x14ac:dyDescent="0.35"/>
    <row r="908" ht="12.75" x14ac:dyDescent="0.35"/>
    <row r="909" ht="12.75" x14ac:dyDescent="0.35"/>
    <row r="910" ht="12.75" x14ac:dyDescent="0.35"/>
    <row r="911" ht="12.75" x14ac:dyDescent="0.35"/>
    <row r="912" ht="12.75" x14ac:dyDescent="0.35"/>
    <row r="913" ht="12.75" x14ac:dyDescent="0.35"/>
    <row r="914" ht="12.75" x14ac:dyDescent="0.35"/>
    <row r="915" ht="12.75" x14ac:dyDescent="0.35"/>
    <row r="916" ht="12.75" x14ac:dyDescent="0.35"/>
    <row r="917" ht="12.75" x14ac:dyDescent="0.35"/>
    <row r="918" ht="12.75" x14ac:dyDescent="0.35"/>
    <row r="919" ht="12.75" x14ac:dyDescent="0.35"/>
    <row r="920" ht="12.75" x14ac:dyDescent="0.35"/>
    <row r="921" ht="12.75" x14ac:dyDescent="0.35"/>
    <row r="922" ht="12.75" x14ac:dyDescent="0.35"/>
    <row r="923" ht="12.75" x14ac:dyDescent="0.35"/>
    <row r="924" ht="12.75" x14ac:dyDescent="0.35"/>
    <row r="925" ht="12.75" x14ac:dyDescent="0.35"/>
    <row r="926" ht="12.75" x14ac:dyDescent="0.35"/>
    <row r="927" ht="12.75" x14ac:dyDescent="0.35"/>
    <row r="928" ht="12.75" x14ac:dyDescent="0.35"/>
    <row r="929" ht="12.75" x14ac:dyDescent="0.35"/>
    <row r="930" ht="12.75" x14ac:dyDescent="0.35"/>
    <row r="931" ht="12.75" x14ac:dyDescent="0.35"/>
    <row r="932" ht="12.75" x14ac:dyDescent="0.35"/>
    <row r="933" ht="12.75" x14ac:dyDescent="0.35"/>
    <row r="934" ht="12.75" x14ac:dyDescent="0.35"/>
    <row r="935" ht="12.75" x14ac:dyDescent="0.35"/>
    <row r="936" ht="12.75" x14ac:dyDescent="0.35"/>
    <row r="937" ht="12.75" x14ac:dyDescent="0.35"/>
    <row r="938" ht="12.75" x14ac:dyDescent="0.35"/>
    <row r="939" ht="12.75" x14ac:dyDescent="0.35"/>
    <row r="940" ht="12.75" x14ac:dyDescent="0.35"/>
    <row r="941" ht="12.75" x14ac:dyDescent="0.35"/>
    <row r="942" ht="12.75" x14ac:dyDescent="0.35"/>
    <row r="943" ht="12.75" x14ac:dyDescent="0.35"/>
    <row r="944" ht="12.75" x14ac:dyDescent="0.35"/>
    <row r="945" ht="12.75" x14ac:dyDescent="0.35"/>
    <row r="946" ht="12.75" x14ac:dyDescent="0.35"/>
    <row r="947" ht="12.75" x14ac:dyDescent="0.35"/>
    <row r="948" ht="12.75" x14ac:dyDescent="0.35"/>
    <row r="949" ht="12.75" x14ac:dyDescent="0.35"/>
    <row r="950" ht="12.75" x14ac:dyDescent="0.35"/>
    <row r="951" ht="12.75" x14ac:dyDescent="0.35"/>
    <row r="952" ht="12.75" x14ac:dyDescent="0.35"/>
    <row r="953" ht="12.75" x14ac:dyDescent="0.35"/>
    <row r="954" ht="12.75" x14ac:dyDescent="0.35"/>
    <row r="955" ht="12.75" x14ac:dyDescent="0.35"/>
    <row r="956" ht="12.75" x14ac:dyDescent="0.35"/>
    <row r="957" ht="12.75" x14ac:dyDescent="0.35"/>
    <row r="958" ht="12.75" x14ac:dyDescent="0.35"/>
    <row r="959" ht="12.75" x14ac:dyDescent="0.35"/>
    <row r="960" ht="12.75" x14ac:dyDescent="0.35"/>
    <row r="961" ht="12.75" x14ac:dyDescent="0.35"/>
    <row r="962" ht="12.75" x14ac:dyDescent="0.35"/>
    <row r="963" ht="12.75" x14ac:dyDescent="0.35"/>
    <row r="964" ht="12.75" x14ac:dyDescent="0.35"/>
    <row r="965" ht="12.75" x14ac:dyDescent="0.35"/>
    <row r="966" ht="12.75" x14ac:dyDescent="0.35"/>
    <row r="967" ht="12.75" x14ac:dyDescent="0.35"/>
    <row r="968" ht="12.75" x14ac:dyDescent="0.35"/>
    <row r="969" ht="12.75" x14ac:dyDescent="0.35"/>
    <row r="970" ht="12.75" x14ac:dyDescent="0.35"/>
    <row r="971" ht="12.75" x14ac:dyDescent="0.35"/>
    <row r="972" ht="12.75" x14ac:dyDescent="0.35"/>
    <row r="973" ht="12.75" x14ac:dyDescent="0.35"/>
    <row r="974" ht="12.75" x14ac:dyDescent="0.35"/>
    <row r="975" ht="12.75" x14ac:dyDescent="0.35"/>
    <row r="976" ht="12.75" x14ac:dyDescent="0.35"/>
    <row r="977" ht="12.75" x14ac:dyDescent="0.35"/>
    <row r="978" ht="12.75" x14ac:dyDescent="0.35"/>
    <row r="979" ht="12.75" x14ac:dyDescent="0.35"/>
    <row r="980" ht="12.75" x14ac:dyDescent="0.35"/>
    <row r="981" ht="12.75" x14ac:dyDescent="0.35"/>
    <row r="982" ht="12.75" x14ac:dyDescent="0.35"/>
    <row r="983" ht="12.75" x14ac:dyDescent="0.35"/>
    <row r="984" ht="12.75" x14ac:dyDescent="0.35"/>
    <row r="985" ht="12.75" x14ac:dyDescent="0.35"/>
    <row r="986" ht="12.75" x14ac:dyDescent="0.35"/>
    <row r="987" ht="12.75" x14ac:dyDescent="0.35"/>
    <row r="988" ht="12.75" x14ac:dyDescent="0.35"/>
    <row r="989" ht="12.75" x14ac:dyDescent="0.35"/>
    <row r="990" ht="12.75" x14ac:dyDescent="0.35"/>
    <row r="991" ht="12.75" x14ac:dyDescent="0.35"/>
    <row r="992" ht="12.75" x14ac:dyDescent="0.35"/>
    <row r="993" ht="12.75" x14ac:dyDescent="0.35"/>
    <row r="994" ht="12.75" x14ac:dyDescent="0.35"/>
    <row r="995" ht="12.75" x14ac:dyDescent="0.35"/>
    <row r="996" ht="12.75" x14ac:dyDescent="0.35"/>
    <row r="997" ht="12.75" x14ac:dyDescent="0.35"/>
    <row r="998" ht="12.75" x14ac:dyDescent="0.35"/>
    <row r="999" ht="12.75" x14ac:dyDescent="0.35"/>
    <row r="1000" ht="12.75" x14ac:dyDescent="0.35"/>
    <row r="1001" ht="12.75" x14ac:dyDescent="0.35"/>
    <row r="1002" ht="12.75" x14ac:dyDescent="0.35"/>
    <row r="1003" ht="12.75" x14ac:dyDescent="0.35"/>
    <row r="1004" ht="12.75" x14ac:dyDescent="0.35"/>
    <row r="1005" ht="12.75" x14ac:dyDescent="0.35"/>
    <row r="1006" ht="12.75" x14ac:dyDescent="0.35"/>
    <row r="1007" ht="12.75" x14ac:dyDescent="0.35"/>
    <row r="1008" ht="12.75" x14ac:dyDescent="0.35"/>
    <row r="1009" ht="12.75" x14ac:dyDescent="0.35"/>
    <row r="1010" ht="12.75" x14ac:dyDescent="0.35"/>
    <row r="1011" ht="12.75" x14ac:dyDescent="0.35"/>
    <row r="1012" ht="12.75" x14ac:dyDescent="0.35"/>
    <row r="1013" ht="12.75" x14ac:dyDescent="0.35"/>
    <row r="1014" ht="12.75" x14ac:dyDescent="0.35"/>
    <row r="1015" ht="12.75" x14ac:dyDescent="0.35"/>
    <row r="1016" ht="12.75" x14ac:dyDescent="0.35"/>
    <row r="1017" ht="12.7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TWS</vt:lpstr>
      <vt:lpstr>TWS NO KARET</vt:lpstr>
      <vt:lpstr>Open TWS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Reynanda Arya Putra</cp:lastModifiedBy>
  <dcterms:modified xsi:type="dcterms:W3CDTF">2025-11-07T22:14:43Z</dcterms:modified>
</cp:coreProperties>
</file>